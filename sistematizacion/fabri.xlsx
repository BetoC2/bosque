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Workspace\Bosque\sistematizacion\"/>
    </mc:Choice>
  </mc:AlternateContent>
  <xr:revisionPtr revIDLastSave="0" documentId="8_{9D2DF7AA-5C70-4136-A4D9-027C3C87C4D9}" xr6:coauthVersionLast="47" xr6:coauthVersionMax="47" xr10:uidLastSave="{00000000-0000-0000-0000-000000000000}"/>
  <bookViews>
    <workbookView xWindow="-120" yWindow="-120" windowWidth="38640" windowHeight="21120" xr2:uid="{F2D75294-81E7-49E2-99BC-07031C7F9212}"/>
  </bookViews>
  <sheets>
    <sheet name="Fabr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6" i="2"/>
  <c r="D2" i="2" s="1"/>
  <c r="D7" i="2"/>
  <c r="D8" i="2"/>
  <c r="D14" i="2"/>
  <c r="D11" i="2" s="1"/>
  <c r="D18" i="2"/>
  <c r="D15" i="2" s="1"/>
  <c r="D20" i="2"/>
  <c r="D19" i="2" s="1"/>
  <c r="D21" i="2"/>
  <c r="D23" i="2"/>
  <c r="D24" i="2"/>
  <c r="D22" i="2" s="1"/>
  <c r="D25" i="2"/>
  <c r="D26" i="2"/>
  <c r="D27" i="2"/>
  <c r="D28" i="2"/>
  <c r="D30" i="2"/>
  <c r="D31" i="2"/>
  <c r="D34" i="2"/>
  <c r="D36" i="2"/>
  <c r="D35" i="2" s="1"/>
  <c r="D37" i="2"/>
  <c r="D40" i="2"/>
  <c r="D39" i="2" s="1"/>
  <c r="D41" i="2"/>
  <c r="D43" i="2"/>
  <c r="D45" i="2"/>
  <c r="D46" i="2"/>
  <c r="D47" i="2"/>
  <c r="D52" i="2"/>
  <c r="D61" i="2"/>
  <c r="D65" i="2"/>
  <c r="D70" i="2"/>
</calcChain>
</file>

<file path=xl/sharedStrings.xml><?xml version="1.0" encoding="utf-8"?>
<sst xmlns="http://schemas.openxmlformats.org/spreadsheetml/2006/main" count="82" uniqueCount="41">
  <si>
    <t>Burrillo (Stevia serrata)</t>
  </si>
  <si>
    <t>Pasto de hojas verdes que se vuelven moradas en la punta. (posiblemente no nativa)</t>
  </si>
  <si>
    <t>Zacatón Fino (Muhlenbergia stricta)</t>
  </si>
  <si>
    <t>Carátacua (Baccharis pteronioides)</t>
  </si>
  <si>
    <t>U11R8-4</t>
  </si>
  <si>
    <t>U11R8-3</t>
  </si>
  <si>
    <t>Tal vez hierba del sapo</t>
  </si>
  <si>
    <t>U11R8-2</t>
  </si>
  <si>
    <t>?</t>
  </si>
  <si>
    <t>U11R8-1</t>
  </si>
  <si>
    <t>Liendrilla de Venado (Muhlenbergia rigens)</t>
  </si>
  <si>
    <t>Género Lepechinia</t>
  </si>
  <si>
    <t>flores secas amarillentas tallo grisaceo con bellosidades</t>
  </si>
  <si>
    <t>U11R7-4</t>
  </si>
  <si>
    <t>U11R7-3</t>
  </si>
  <si>
    <t>U11R7-2</t>
  </si>
  <si>
    <t>U11R7-1</t>
  </si>
  <si>
    <t>Liendrilla de Venado (Muhlenbergia rigens)  follaje basal denso y tupido, formado por hojas estrechas y puntiagudas</t>
  </si>
  <si>
    <t>U11R6-4</t>
  </si>
  <si>
    <t>U11R6-3</t>
  </si>
  <si>
    <t>U11R6-2</t>
  </si>
  <si>
    <t xml:space="preserve">   </t>
  </si>
  <si>
    <t>U11R6-1</t>
  </si>
  <si>
    <t>U11R1-4</t>
  </si>
  <si>
    <t xml:space="preserve">  </t>
  </si>
  <si>
    <t>U11R1-3</t>
  </si>
  <si>
    <t>U11R1-2</t>
  </si>
  <si>
    <t>Burrillo (Stevia serrata), hasta 80 cm de alto,  hojas son alternas, lanceoladas o elípticas,</t>
  </si>
  <si>
    <t>Carátacua (Baccharis pteronioides)
aarbusto de la familia Asteraceae  de hasta 100 cm de altura, con hojas gruesas y coriáceas. https://www.inaturalist.org/taxa/159126-Baccharis-pteronioides#articles-tab</t>
  </si>
  <si>
    <t xml:space="preserve"> </t>
  </si>
  <si>
    <t>U11R1-1</t>
  </si>
  <si>
    <t>hora</t>
  </si>
  <si>
    <t>fecha</t>
  </si>
  <si>
    <t>Num especies arbustos</t>
  </si>
  <si>
    <t>Num_arbustos</t>
  </si>
  <si>
    <t>Descripción_arbustos</t>
  </si>
  <si>
    <t>num especies herbaceas</t>
  </si>
  <si>
    <t>num_flores</t>
  </si>
  <si>
    <t>Descripcion_herb</t>
  </si>
  <si>
    <t>num_fotos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</si>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</sst>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2" xfId="0" applyNumberFormat="1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8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8" fontId="0" fillId="0" borderId="7" xfId="0" applyNumberFormat="1" applyBorder="1" applyAlignment="1">
      <alignment horizontal="center" vertical="center"/>
    </xf>
    <xf numFmtId="0" fontId="0" fillId="0" borderId="4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9DFD-B57B-44B4-A963-3EB17B0E0863}">
  <dimension ref="A1:J75"/>
  <sheetViews>
    <sheetView tabSelected="1" zoomScale="97" zoomScaleNormal="225" workbookViewId="0">
      <pane ySplit="1" topLeftCell="A29" activePane="bottomLeft" state="frozen"/>
      <selection pane="bottomLeft" activeCell="L6" sqref="L6"/>
    </sheetView>
  </sheetViews>
  <sheetFormatPr defaultColWidth="11.42578125" defaultRowHeight="15" x14ac:dyDescent="0.25"/>
  <cols>
    <col min="3" max="3" width="29.28515625" customWidth="1"/>
    <col min="5" max="5" width="28" customWidth="1"/>
    <col min="6" max="6" width="40.5703125" customWidth="1"/>
    <col min="7" max="7" width="16.140625" customWidth="1"/>
    <col min="8" max="8" width="26" customWidth="1"/>
  </cols>
  <sheetData>
    <row r="1" spans="1:10" x14ac:dyDescent="0.25">
      <c r="A1" s="26" t="s">
        <v>40</v>
      </c>
      <c r="B1" s="26" t="s">
        <v>39</v>
      </c>
      <c r="C1" s="26" t="s">
        <v>38</v>
      </c>
      <c r="D1" s="26" t="s">
        <v>37</v>
      </c>
      <c r="E1" s="26" t="s">
        <v>36</v>
      </c>
      <c r="F1" s="26" t="s">
        <v>35</v>
      </c>
      <c r="G1" s="26" t="s">
        <v>34</v>
      </c>
      <c r="H1" s="26" t="s">
        <v>33</v>
      </c>
      <c r="I1" s="26" t="s">
        <v>32</v>
      </c>
      <c r="J1" s="26" t="s">
        <v>31</v>
      </c>
    </row>
    <row r="2" spans="1:10" ht="21" customHeight="1" x14ac:dyDescent="0.25">
      <c r="A2" s="25" t="s">
        <v>30</v>
      </c>
      <c r="B2" s="25">
        <v>4</v>
      </c>
      <c r="C2" s="25"/>
      <c r="D2" s="25">
        <f>D6+D4</f>
        <v>315</v>
      </c>
      <c r="E2" s="24">
        <v>2</v>
      </c>
      <c r="F2" s="23"/>
      <c r="G2" s="19">
        <v>7</v>
      </c>
      <c r="H2" s="19">
        <v>2</v>
      </c>
      <c r="I2" s="12">
        <v>45980</v>
      </c>
      <c r="J2" s="22">
        <v>0.41666666666666669</v>
      </c>
    </row>
    <row r="3" spans="1:10" ht="90" x14ac:dyDescent="0.25">
      <c r="A3" s="1"/>
      <c r="B3" s="1"/>
      <c r="C3" s="1"/>
      <c r="D3" s="1" t="s">
        <v>29</v>
      </c>
      <c r="F3" s="2" t="s">
        <v>28</v>
      </c>
      <c r="G3" s="1">
        <v>2</v>
      </c>
    </row>
    <row r="4" spans="1:10" ht="156.94999999999999" customHeight="1" x14ac:dyDescent="0.25">
      <c r="A4" s="1"/>
      <c r="B4" s="1"/>
      <c r="C4" s="9" t="s">
        <v>12</v>
      </c>
      <c r="D4" s="1">
        <f>7*5</f>
        <v>35</v>
      </c>
      <c r="G4" s="1"/>
    </row>
    <row r="5" spans="1:10" ht="120.95" customHeight="1" x14ac:dyDescent="0.25">
      <c r="A5" s="1"/>
      <c r="B5" s="1"/>
      <c r="C5" s="1"/>
      <c r="D5" s="1"/>
      <c r="F5" s="2" t="s">
        <v>2</v>
      </c>
      <c r="G5" s="1">
        <v>5</v>
      </c>
      <c r="I5" s="1"/>
      <c r="J5" s="1"/>
    </row>
    <row r="6" spans="1:10" ht="113.1" customHeight="1" x14ac:dyDescent="0.25">
      <c r="A6" s="1"/>
      <c r="B6" s="1"/>
      <c r="C6" s="2" t="s">
        <v>27</v>
      </c>
      <c r="D6" s="1">
        <f>8*35</f>
        <v>280</v>
      </c>
      <c r="F6" s="2"/>
      <c r="G6" s="1"/>
      <c r="I6" s="1"/>
      <c r="J6" s="1"/>
    </row>
    <row r="7" spans="1:10" x14ac:dyDescent="0.25">
      <c r="A7" s="20" t="s">
        <v>26</v>
      </c>
      <c r="B7" s="20"/>
      <c r="C7" s="20"/>
      <c r="D7" s="20">
        <f>D8</f>
        <v>1120</v>
      </c>
      <c r="E7" s="20">
        <v>1</v>
      </c>
      <c r="F7" s="21"/>
      <c r="G7" s="20">
        <v>2</v>
      </c>
      <c r="H7" s="19">
        <v>2</v>
      </c>
      <c r="I7" s="12">
        <v>45980</v>
      </c>
      <c r="J7" s="14">
        <v>0.43055555555555558</v>
      </c>
    </row>
    <row r="8" spans="1:10" x14ac:dyDescent="0.25">
      <c r="A8" s="1"/>
      <c r="B8" s="1"/>
      <c r="C8" s="2" t="s">
        <v>0</v>
      </c>
      <c r="D8" s="1">
        <f>32*35</f>
        <v>1120</v>
      </c>
      <c r="F8" s="2"/>
      <c r="G8" s="1"/>
      <c r="I8" s="1"/>
      <c r="J8" s="1"/>
    </row>
    <row r="9" spans="1:10" x14ac:dyDescent="0.25">
      <c r="A9" s="1"/>
      <c r="B9" s="1"/>
      <c r="C9" s="1"/>
      <c r="D9" s="1"/>
      <c r="F9" s="2" t="s">
        <v>3</v>
      </c>
      <c r="G9" s="1">
        <v>1</v>
      </c>
      <c r="I9" s="1"/>
      <c r="J9" s="1"/>
    </row>
    <row r="10" spans="1:10" x14ac:dyDescent="0.25">
      <c r="A10" s="1"/>
      <c r="B10" s="1"/>
      <c r="D10" s="1"/>
      <c r="F10" s="2" t="s">
        <v>2</v>
      </c>
      <c r="G10" s="1">
        <v>1</v>
      </c>
      <c r="I10" s="1"/>
      <c r="J10" s="1"/>
    </row>
    <row r="11" spans="1:10" x14ac:dyDescent="0.25">
      <c r="A11" s="20" t="s">
        <v>25</v>
      </c>
      <c r="B11" s="20"/>
      <c r="C11" s="20"/>
      <c r="D11" s="20">
        <f>D14</f>
        <v>770</v>
      </c>
      <c r="E11" s="19">
        <v>1</v>
      </c>
      <c r="F11" s="21"/>
      <c r="G11" s="20">
        <v>3</v>
      </c>
      <c r="H11" s="19">
        <v>2</v>
      </c>
      <c r="I11" s="12">
        <v>45980</v>
      </c>
      <c r="J11" s="14">
        <v>0.4375</v>
      </c>
    </row>
    <row r="12" spans="1:10" x14ac:dyDescent="0.25">
      <c r="A12" s="1"/>
      <c r="B12" s="1"/>
      <c r="C12" s="1"/>
      <c r="D12" s="1"/>
      <c r="F12" s="2" t="s">
        <v>3</v>
      </c>
      <c r="G12" s="1">
        <v>1</v>
      </c>
      <c r="I12" s="1"/>
      <c r="J12" s="1"/>
    </row>
    <row r="13" spans="1:10" x14ac:dyDescent="0.25">
      <c r="A13" s="1"/>
      <c r="B13" s="1"/>
      <c r="C13" s="1"/>
      <c r="D13" s="1"/>
      <c r="F13" s="2" t="s">
        <v>2</v>
      </c>
      <c r="G13" s="1">
        <v>2</v>
      </c>
      <c r="I13" s="1"/>
      <c r="J13" s="1"/>
    </row>
    <row r="14" spans="1:10" x14ac:dyDescent="0.25">
      <c r="A14" s="1"/>
      <c r="B14" s="1"/>
      <c r="C14" s="2" t="s">
        <v>0</v>
      </c>
      <c r="D14" s="1">
        <f>22*35</f>
        <v>770</v>
      </c>
      <c r="F14" s="2"/>
      <c r="G14" s="1" t="s">
        <v>24</v>
      </c>
      <c r="H14" s="1"/>
    </row>
    <row r="15" spans="1:10" x14ac:dyDescent="0.25">
      <c r="A15" s="20" t="s">
        <v>23</v>
      </c>
      <c r="B15" s="20"/>
      <c r="C15" s="20"/>
      <c r="D15" s="20">
        <f>D18</f>
        <v>1820</v>
      </c>
      <c r="E15" s="19">
        <v>1</v>
      </c>
      <c r="F15" s="21"/>
      <c r="G15" s="20">
        <v>2</v>
      </c>
      <c r="H15" s="19">
        <v>2</v>
      </c>
      <c r="I15" s="12">
        <v>45980</v>
      </c>
      <c r="J15" s="14">
        <v>0.4375</v>
      </c>
    </row>
    <row r="16" spans="1:10" x14ac:dyDescent="0.25">
      <c r="A16" s="1"/>
      <c r="B16" s="1"/>
      <c r="C16" s="1"/>
      <c r="D16" s="1"/>
      <c r="E16" s="1"/>
      <c r="F16" s="2" t="s">
        <v>2</v>
      </c>
      <c r="G16" s="1">
        <v>1</v>
      </c>
      <c r="H16" s="1"/>
    </row>
    <row r="17" spans="1:10" x14ac:dyDescent="0.25">
      <c r="A17" s="1"/>
      <c r="B17" s="1"/>
      <c r="C17" s="1"/>
      <c r="D17" s="1"/>
      <c r="E17" s="1"/>
      <c r="F17" s="2" t="s">
        <v>3</v>
      </c>
      <c r="G17" s="1">
        <v>1</v>
      </c>
      <c r="H17" s="1"/>
    </row>
    <row r="18" spans="1:10" ht="15.75" thickBot="1" x14ac:dyDescent="0.3">
      <c r="A18" s="17"/>
      <c r="B18" s="17"/>
      <c r="C18" s="18" t="s">
        <v>0</v>
      </c>
      <c r="D18" s="17">
        <f>52*35</f>
        <v>1820</v>
      </c>
      <c r="E18" s="17"/>
      <c r="F18" s="17"/>
      <c r="G18" s="17"/>
      <c r="H18" s="17"/>
      <c r="I18" s="16"/>
      <c r="J18" s="16"/>
    </row>
    <row r="19" spans="1:10" x14ac:dyDescent="0.25">
      <c r="A19" s="15" t="s">
        <v>22</v>
      </c>
      <c r="B19" s="15"/>
      <c r="C19" s="15"/>
      <c r="D19" s="15">
        <f>D20</f>
        <v>4800</v>
      </c>
      <c r="E19" s="15"/>
      <c r="F19" s="15"/>
      <c r="G19" s="15"/>
      <c r="H19" s="15"/>
      <c r="I19" s="12">
        <v>45980</v>
      </c>
      <c r="J19" s="14">
        <v>0.44444444444444442</v>
      </c>
    </row>
    <row r="20" spans="1:10" ht="113.1" customHeight="1" x14ac:dyDescent="0.25">
      <c r="A20" s="1"/>
      <c r="B20" s="1"/>
      <c r="C20" s="13" t="s">
        <v>11</v>
      </c>
      <c r="D20" s="1">
        <f>80*60</f>
        <v>4800</v>
      </c>
      <c r="E20" s="1"/>
      <c r="F20" s="1"/>
      <c r="G20" s="1"/>
      <c r="H20" s="1" t="s">
        <v>21</v>
      </c>
    </row>
    <row r="21" spans="1:10" x14ac:dyDescent="0.25">
      <c r="A21" s="1"/>
      <c r="B21" s="1"/>
      <c r="C21" s="2" t="s">
        <v>0</v>
      </c>
      <c r="D21" s="1">
        <f>33*35</f>
        <v>1155</v>
      </c>
      <c r="E21" s="1"/>
      <c r="F21" s="1"/>
      <c r="G21" s="1"/>
      <c r="H21" s="1"/>
    </row>
    <row r="22" spans="1:10" x14ac:dyDescent="0.25">
      <c r="A22" s="11" t="s">
        <v>20</v>
      </c>
      <c r="B22" s="11"/>
      <c r="C22" s="11"/>
      <c r="D22" s="11">
        <f>D24+D23</f>
        <v>5785</v>
      </c>
      <c r="E22" s="11"/>
      <c r="F22" s="11"/>
      <c r="G22" s="11"/>
      <c r="H22" s="11"/>
      <c r="I22" s="12">
        <v>45980</v>
      </c>
      <c r="J22" s="10"/>
    </row>
    <row r="23" spans="1:10" x14ac:dyDescent="0.25">
      <c r="A23" s="1"/>
      <c r="B23" s="1"/>
      <c r="C23" s="1" t="s">
        <v>11</v>
      </c>
      <c r="D23" s="1">
        <f>90*60</f>
        <v>5400</v>
      </c>
      <c r="E23" s="1"/>
      <c r="F23" s="1"/>
      <c r="G23" s="1"/>
      <c r="H23" s="1"/>
    </row>
    <row r="24" spans="1:10" x14ac:dyDescent="0.25">
      <c r="A24" s="1"/>
      <c r="B24" s="1"/>
      <c r="C24" s="2" t="s">
        <v>0</v>
      </c>
      <c r="D24" s="1">
        <f>11*35</f>
        <v>385</v>
      </c>
      <c r="E24" s="1"/>
      <c r="F24" s="1"/>
      <c r="G24" s="1"/>
      <c r="H24" s="1"/>
    </row>
    <row r="25" spans="1:10" x14ac:dyDescent="0.25">
      <c r="A25" s="11" t="s">
        <v>19</v>
      </c>
      <c r="B25" s="11"/>
      <c r="C25" s="11"/>
      <c r="D25" s="11">
        <f>D26+D27</f>
        <v>6105</v>
      </c>
      <c r="E25" s="11"/>
      <c r="F25" s="11"/>
      <c r="G25" s="11"/>
      <c r="H25" s="11"/>
      <c r="I25" s="5">
        <v>45980</v>
      </c>
      <c r="J25" s="10"/>
    </row>
    <row r="26" spans="1:10" x14ac:dyDescent="0.25">
      <c r="A26" s="1"/>
      <c r="B26" s="1"/>
      <c r="C26" s="1" t="s">
        <v>11</v>
      </c>
      <c r="D26" s="1">
        <f>100*60</f>
        <v>6000</v>
      </c>
      <c r="E26" s="1"/>
      <c r="F26" s="1"/>
      <c r="G26" s="1"/>
      <c r="H26" s="1"/>
    </row>
    <row r="27" spans="1:10" x14ac:dyDescent="0.25">
      <c r="A27" s="1"/>
      <c r="B27" s="1"/>
      <c r="C27" s="2" t="s">
        <v>0</v>
      </c>
      <c r="D27" s="1">
        <f>3*35</f>
        <v>105</v>
      </c>
      <c r="E27" s="1"/>
      <c r="F27" s="1"/>
      <c r="G27" s="1"/>
      <c r="H27" s="1"/>
    </row>
    <row r="28" spans="1:10" x14ac:dyDescent="0.25">
      <c r="A28" s="11" t="s">
        <v>18</v>
      </c>
      <c r="B28" s="11"/>
      <c r="C28" s="11"/>
      <c r="D28" s="11">
        <f>D30+D31</f>
        <v>2600</v>
      </c>
      <c r="E28" s="11"/>
      <c r="F28" s="11"/>
      <c r="G28" s="11">
        <v>2</v>
      </c>
      <c r="H28" s="11">
        <v>1</v>
      </c>
      <c r="I28" s="5">
        <v>45980</v>
      </c>
      <c r="J28" s="10"/>
    </row>
    <row r="29" spans="1:10" ht="143.25" customHeight="1" x14ac:dyDescent="0.25">
      <c r="A29" s="1"/>
      <c r="B29" s="1"/>
      <c r="C29" s="2"/>
      <c r="D29" s="1"/>
      <c r="E29" s="1"/>
      <c r="F29" s="2" t="s">
        <v>17</v>
      </c>
      <c r="G29" s="1">
        <v>2</v>
      </c>
      <c r="H29" s="1"/>
    </row>
    <row r="30" spans="1:10" x14ac:dyDescent="0.25">
      <c r="A30" s="1"/>
      <c r="B30" s="1"/>
      <c r="C30" s="1" t="s">
        <v>11</v>
      </c>
      <c r="D30" s="1">
        <f>41*60</f>
        <v>2460</v>
      </c>
      <c r="E30" s="1"/>
      <c r="F30" s="1"/>
      <c r="G30" s="1"/>
      <c r="H30" s="1"/>
    </row>
    <row r="31" spans="1:10" ht="15.75" thickBot="1" x14ac:dyDescent="0.3">
      <c r="A31" s="7"/>
      <c r="B31" s="7"/>
      <c r="C31" s="8" t="s">
        <v>0</v>
      </c>
      <c r="D31" s="7">
        <f>4*35</f>
        <v>140</v>
      </c>
      <c r="E31" s="7"/>
      <c r="F31" s="7"/>
      <c r="G31" s="7"/>
      <c r="H31" s="7"/>
      <c r="I31" s="6"/>
      <c r="J31" s="6"/>
    </row>
    <row r="32" spans="1:10" x14ac:dyDescent="0.25">
      <c r="A32" s="11" t="s">
        <v>16</v>
      </c>
      <c r="B32" s="11"/>
      <c r="C32" s="11"/>
      <c r="D32" s="11">
        <v>700</v>
      </c>
      <c r="E32" s="11"/>
      <c r="F32" s="11"/>
      <c r="G32" s="11">
        <v>2</v>
      </c>
      <c r="H32" s="11"/>
      <c r="I32" s="5">
        <v>45980</v>
      </c>
      <c r="J32" s="10"/>
    </row>
    <row r="33" spans="1:10" x14ac:dyDescent="0.25">
      <c r="A33" s="1"/>
      <c r="B33" s="1"/>
      <c r="C33" s="1"/>
      <c r="D33" s="1"/>
      <c r="E33" s="1"/>
      <c r="F33" s="2" t="s">
        <v>2</v>
      </c>
      <c r="G33" s="1">
        <v>2</v>
      </c>
      <c r="H33" s="1"/>
    </row>
    <row r="34" spans="1:10" x14ac:dyDescent="0.25">
      <c r="A34" s="1"/>
      <c r="B34" s="1"/>
      <c r="C34" s="1" t="s">
        <v>0</v>
      </c>
      <c r="D34" s="1">
        <f>20*35</f>
        <v>700</v>
      </c>
      <c r="E34" s="1"/>
      <c r="F34" s="1"/>
      <c r="G34" s="1"/>
      <c r="H34" s="1"/>
    </row>
    <row r="35" spans="1:10" x14ac:dyDescent="0.25">
      <c r="A35" s="11" t="s">
        <v>15</v>
      </c>
      <c r="B35" s="11"/>
      <c r="C35" s="11"/>
      <c r="D35" s="11">
        <f>D36+D37</f>
        <v>3680</v>
      </c>
      <c r="E35" s="11"/>
      <c r="F35" s="11"/>
      <c r="G35" s="11">
        <v>3</v>
      </c>
      <c r="H35" s="11">
        <v>1</v>
      </c>
      <c r="I35" s="5">
        <v>45980</v>
      </c>
      <c r="J35" s="10"/>
    </row>
    <row r="36" spans="1:10" x14ac:dyDescent="0.25">
      <c r="A36" s="1"/>
      <c r="B36" s="1"/>
      <c r="C36" s="1" t="s">
        <v>11</v>
      </c>
      <c r="D36" s="1">
        <f>38*60</f>
        <v>2280</v>
      </c>
      <c r="E36" s="1"/>
      <c r="F36" s="1"/>
      <c r="G36" s="1"/>
      <c r="H36" s="1"/>
    </row>
    <row r="37" spans="1:10" x14ac:dyDescent="0.25">
      <c r="A37" s="1"/>
      <c r="B37" s="1"/>
      <c r="C37" s="1" t="s">
        <v>0</v>
      </c>
      <c r="D37" s="1">
        <f>40*35</f>
        <v>1400</v>
      </c>
      <c r="E37" s="1"/>
      <c r="F37" s="1"/>
      <c r="G37" s="1"/>
      <c r="H37" s="1"/>
    </row>
    <row r="38" spans="1:10" x14ac:dyDescent="0.25">
      <c r="A38" s="1"/>
      <c r="B38" s="1"/>
      <c r="C38" s="1"/>
      <c r="D38" s="1"/>
      <c r="E38" s="1"/>
      <c r="F38" s="2" t="s">
        <v>10</v>
      </c>
      <c r="G38" s="1">
        <v>3</v>
      </c>
      <c r="H38" s="1"/>
    </row>
    <row r="39" spans="1:10" x14ac:dyDescent="0.25">
      <c r="A39" s="4" t="s">
        <v>14</v>
      </c>
      <c r="B39" s="4"/>
      <c r="C39" s="4"/>
      <c r="D39" s="4">
        <f>D40+D41+D43</f>
        <v>4005</v>
      </c>
      <c r="E39" s="4"/>
      <c r="F39" s="4"/>
      <c r="G39" s="4">
        <v>4</v>
      </c>
      <c r="H39" s="4">
        <v>1</v>
      </c>
      <c r="I39" s="5">
        <v>45980</v>
      </c>
      <c r="J39" s="3"/>
    </row>
    <row r="40" spans="1:10" x14ac:dyDescent="0.25">
      <c r="A40" s="1"/>
      <c r="B40" s="1"/>
      <c r="C40" s="1" t="s">
        <v>11</v>
      </c>
      <c r="D40" s="1">
        <f>60*60</f>
        <v>3600</v>
      </c>
      <c r="E40" s="1"/>
      <c r="F40" s="1"/>
      <c r="G40" s="1"/>
      <c r="H40" s="1"/>
    </row>
    <row r="41" spans="1:10" x14ac:dyDescent="0.25">
      <c r="A41" s="1"/>
      <c r="B41" s="1"/>
      <c r="C41" s="1" t="s">
        <v>0</v>
      </c>
      <c r="D41" s="1">
        <f>9*35</f>
        <v>315</v>
      </c>
      <c r="E41" s="1"/>
      <c r="F41" s="1"/>
      <c r="G41" s="1"/>
      <c r="H41" s="1"/>
    </row>
    <row r="42" spans="1:10" x14ac:dyDescent="0.25">
      <c r="A42" s="1"/>
      <c r="B42" s="1"/>
      <c r="C42" s="1"/>
      <c r="D42" s="1"/>
      <c r="E42" s="1"/>
      <c r="F42" s="2" t="s">
        <v>10</v>
      </c>
      <c r="G42" s="1">
        <v>4</v>
      </c>
      <c r="H42" s="1"/>
    </row>
    <row r="43" spans="1:10" ht="30" x14ac:dyDescent="0.25">
      <c r="B43" s="1"/>
      <c r="C43" s="9" t="s">
        <v>12</v>
      </c>
      <c r="D43" s="1">
        <f>18*5</f>
        <v>90</v>
      </c>
      <c r="E43" s="1"/>
      <c r="F43" s="1"/>
      <c r="G43" s="1"/>
      <c r="H43" s="1"/>
    </row>
    <row r="44" spans="1:10" x14ac:dyDescent="0.25">
      <c r="A44" s="4" t="s">
        <v>13</v>
      </c>
      <c r="B44" s="4"/>
      <c r="C44" s="4"/>
      <c r="D44" s="4"/>
      <c r="E44" s="4"/>
      <c r="F44" s="4"/>
      <c r="G44" s="4">
        <v>2</v>
      </c>
      <c r="H44" s="4">
        <v>1</v>
      </c>
      <c r="I44" s="5">
        <v>45980</v>
      </c>
      <c r="J44" s="3"/>
    </row>
    <row r="45" spans="1:10" ht="30" x14ac:dyDescent="0.25">
      <c r="A45" s="1"/>
      <c r="B45" s="1"/>
      <c r="C45" s="9" t="s">
        <v>12</v>
      </c>
      <c r="D45" s="1">
        <f>25*5</f>
        <v>125</v>
      </c>
      <c r="E45" s="1"/>
      <c r="F45" s="1"/>
      <c r="G45" s="1"/>
      <c r="H45" s="1"/>
    </row>
    <row r="46" spans="1:10" x14ac:dyDescent="0.25">
      <c r="A46" s="1"/>
      <c r="B46" s="1"/>
      <c r="C46" s="1" t="s">
        <v>11</v>
      </c>
      <c r="D46" s="1">
        <f>66*60</f>
        <v>3960</v>
      </c>
      <c r="E46" s="1"/>
      <c r="F46" s="1"/>
      <c r="G46" s="1"/>
      <c r="H46" s="1"/>
    </row>
    <row r="47" spans="1:10" x14ac:dyDescent="0.25">
      <c r="A47" s="1"/>
      <c r="B47" s="1"/>
      <c r="C47" s="1" t="s">
        <v>0</v>
      </c>
      <c r="D47" s="1">
        <f>22*35</f>
        <v>770</v>
      </c>
      <c r="E47" s="1"/>
      <c r="F47" s="1"/>
      <c r="G47" s="1"/>
      <c r="H47" s="1"/>
    </row>
    <row r="48" spans="1:10" ht="15.75" thickBot="1" x14ac:dyDescent="0.3">
      <c r="A48" s="7"/>
      <c r="B48" s="7"/>
      <c r="C48" s="7"/>
      <c r="D48" s="7"/>
      <c r="E48" s="7"/>
      <c r="F48" s="8" t="s">
        <v>10</v>
      </c>
      <c r="G48" s="7">
        <v>2</v>
      </c>
      <c r="H48" s="7"/>
      <c r="I48" s="6"/>
      <c r="J48" s="6"/>
    </row>
    <row r="49" spans="1:10" x14ac:dyDescent="0.25">
      <c r="A49" s="4" t="s">
        <v>9</v>
      </c>
      <c r="B49" s="4"/>
      <c r="C49" s="4"/>
      <c r="D49" s="4">
        <v>458</v>
      </c>
      <c r="E49" s="4"/>
      <c r="F49" s="4"/>
      <c r="G49" s="4">
        <v>5</v>
      </c>
      <c r="H49" s="4">
        <v>2</v>
      </c>
      <c r="I49" s="5">
        <v>45980</v>
      </c>
      <c r="J49" s="3"/>
    </row>
    <row r="50" spans="1:10" x14ac:dyDescent="0.25">
      <c r="A50" s="1"/>
      <c r="B50" s="1"/>
      <c r="C50" s="1"/>
      <c r="D50" s="1"/>
      <c r="E50" s="1"/>
      <c r="F50" s="2" t="s">
        <v>3</v>
      </c>
      <c r="G50" s="1">
        <v>1</v>
      </c>
      <c r="H50" s="1"/>
    </row>
    <row r="51" spans="1:10" ht="120" customHeight="1" x14ac:dyDescent="0.25">
      <c r="A51" s="1"/>
      <c r="B51" s="1"/>
      <c r="C51" s="1"/>
      <c r="D51" s="1"/>
      <c r="E51" s="1"/>
      <c r="F51" s="2" t="s">
        <v>1</v>
      </c>
      <c r="G51" s="1">
        <v>4</v>
      </c>
      <c r="H51" s="1"/>
    </row>
    <row r="52" spans="1:10" x14ac:dyDescent="0.25">
      <c r="A52" s="1"/>
      <c r="B52" s="1"/>
      <c r="C52" s="1" t="s">
        <v>0</v>
      </c>
      <c r="D52" s="1">
        <f>13*35</f>
        <v>455</v>
      </c>
      <c r="E52" s="1"/>
      <c r="F52" s="1"/>
      <c r="G52" s="1"/>
      <c r="H52" s="1"/>
    </row>
    <row r="53" spans="1:10" ht="141" customHeight="1" x14ac:dyDescent="0.25">
      <c r="A53" s="1"/>
      <c r="B53" s="1"/>
      <c r="C53" s="1" t="s">
        <v>8</v>
      </c>
      <c r="D53" s="1">
        <v>3</v>
      </c>
      <c r="E53" s="1"/>
      <c r="F53" s="1"/>
      <c r="G53" s="1"/>
      <c r="H53" s="1"/>
    </row>
    <row r="54" spans="1:10" x14ac:dyDescent="0.25">
      <c r="A54" s="4" t="s">
        <v>7</v>
      </c>
      <c r="B54" s="4"/>
      <c r="C54" s="4"/>
      <c r="D54" s="4"/>
      <c r="E54" s="4"/>
      <c r="F54" s="4"/>
      <c r="G54" s="4">
        <v>5</v>
      </c>
      <c r="H54" s="4">
        <v>2</v>
      </c>
      <c r="I54" s="5">
        <v>45980</v>
      </c>
      <c r="J54" s="3"/>
    </row>
    <row r="55" spans="1:10" ht="106.5" customHeight="1" x14ac:dyDescent="0.25">
      <c r="A55" s="1"/>
      <c r="B55" s="1"/>
      <c r="C55" s="1" t="s">
        <v>6</v>
      </c>
      <c r="D55" s="1">
        <v>0</v>
      </c>
      <c r="E55" s="1"/>
      <c r="F55" s="1"/>
      <c r="G55" s="1"/>
      <c r="H55" s="1"/>
    </row>
    <row r="56" spans="1:10" ht="45" x14ac:dyDescent="0.25">
      <c r="A56" s="1"/>
      <c r="B56" s="1"/>
      <c r="C56" s="1"/>
      <c r="D56" s="1"/>
      <c r="E56" s="1"/>
      <c r="F56" s="2" t="s">
        <v>1</v>
      </c>
      <c r="G56" s="1">
        <v>4</v>
      </c>
      <c r="H56" s="1"/>
    </row>
    <row r="57" spans="1:10" x14ac:dyDescent="0.25">
      <c r="A57" s="1"/>
      <c r="B57" s="1"/>
      <c r="C57" s="1"/>
      <c r="D57" s="1"/>
      <c r="E57" s="1"/>
      <c r="F57" s="2" t="s">
        <v>2</v>
      </c>
      <c r="G57" s="1">
        <v>1</v>
      </c>
      <c r="H57" s="1"/>
    </row>
    <row r="58" spans="1:10" x14ac:dyDescent="0.25">
      <c r="A58" s="4" t="s">
        <v>5</v>
      </c>
      <c r="B58" s="4"/>
      <c r="C58" s="4"/>
      <c r="D58" s="4">
        <v>420</v>
      </c>
      <c r="E58" s="4"/>
      <c r="F58" s="4"/>
      <c r="G58" s="4">
        <v>6</v>
      </c>
      <c r="H58" s="4">
        <v>2</v>
      </c>
      <c r="I58" s="5">
        <v>45980</v>
      </c>
      <c r="J58" s="3"/>
    </row>
    <row r="59" spans="1:10" x14ac:dyDescent="0.25">
      <c r="A59" s="1"/>
      <c r="B59" s="1"/>
      <c r="C59" s="1"/>
      <c r="D59" s="1"/>
      <c r="E59" s="1"/>
      <c r="F59" s="2" t="s">
        <v>3</v>
      </c>
      <c r="G59" s="1">
        <v>1</v>
      </c>
      <c r="H59" s="1"/>
    </row>
    <row r="60" spans="1:10" ht="45" x14ac:dyDescent="0.25">
      <c r="A60" s="1"/>
      <c r="B60" s="1"/>
      <c r="C60" s="1"/>
      <c r="D60" s="1"/>
      <c r="E60" s="1"/>
      <c r="F60" s="2" t="s">
        <v>1</v>
      </c>
      <c r="G60" s="1">
        <v>5</v>
      </c>
      <c r="H60" s="1"/>
    </row>
    <row r="61" spans="1:10" x14ac:dyDescent="0.25">
      <c r="A61" s="1"/>
      <c r="B61" s="1"/>
      <c r="C61" s="1" t="s">
        <v>0</v>
      </c>
      <c r="D61" s="1">
        <f>12*35</f>
        <v>420</v>
      </c>
      <c r="E61" s="1"/>
      <c r="F61" s="1"/>
      <c r="G61" s="1"/>
      <c r="H61" s="1"/>
    </row>
    <row r="62" spans="1:10" x14ac:dyDescent="0.25">
      <c r="A62" s="4" t="s">
        <v>5</v>
      </c>
      <c r="B62" s="4"/>
      <c r="C62" s="4"/>
      <c r="D62" s="4">
        <v>770</v>
      </c>
      <c r="E62" s="4"/>
      <c r="F62" s="4"/>
      <c r="G62" s="4">
        <v>3</v>
      </c>
      <c r="H62" s="4">
        <v>2</v>
      </c>
      <c r="I62" s="3"/>
      <c r="J62" s="3"/>
    </row>
    <row r="63" spans="1:10" x14ac:dyDescent="0.25">
      <c r="A63" s="1"/>
      <c r="B63" s="1"/>
      <c r="C63" s="1"/>
      <c r="D63" s="1"/>
      <c r="E63" s="1"/>
      <c r="F63" s="2" t="s">
        <v>3</v>
      </c>
      <c r="G63" s="1">
        <v>1</v>
      </c>
      <c r="H63" s="1"/>
    </row>
    <row r="64" spans="1:10" ht="45" x14ac:dyDescent="0.25">
      <c r="A64" s="1"/>
      <c r="B64" s="1"/>
      <c r="C64" s="1"/>
      <c r="D64" s="1"/>
      <c r="E64" s="1"/>
      <c r="F64" s="2" t="s">
        <v>1</v>
      </c>
      <c r="G64" s="1">
        <v>2</v>
      </c>
      <c r="H64" s="1"/>
    </row>
    <row r="65" spans="1:10" x14ac:dyDescent="0.25">
      <c r="A65" s="1"/>
      <c r="B65" s="1"/>
      <c r="C65" s="1" t="s">
        <v>0</v>
      </c>
      <c r="D65" s="1">
        <f>22*35</f>
        <v>770</v>
      </c>
      <c r="E65" s="1"/>
      <c r="F65" s="1"/>
      <c r="G65" s="1"/>
      <c r="H65" s="1"/>
    </row>
    <row r="66" spans="1:10" x14ac:dyDescent="0.25">
      <c r="A66" s="4" t="s">
        <v>4</v>
      </c>
      <c r="B66" s="4"/>
      <c r="C66" s="4"/>
      <c r="D66" s="4"/>
      <c r="E66" s="4"/>
      <c r="F66" s="4"/>
      <c r="G66" s="4">
        <v>5</v>
      </c>
      <c r="H66" s="4">
        <v>3</v>
      </c>
      <c r="I66" s="3"/>
      <c r="J66" s="3"/>
    </row>
    <row r="67" spans="1:10" x14ac:dyDescent="0.25">
      <c r="A67" s="1"/>
      <c r="B67" s="1"/>
      <c r="C67" s="1"/>
      <c r="D67" s="1"/>
      <c r="E67" s="1"/>
      <c r="F67" s="2" t="s">
        <v>3</v>
      </c>
      <c r="G67" s="1"/>
      <c r="H67" s="1"/>
    </row>
    <row r="68" spans="1:10" x14ac:dyDescent="0.25">
      <c r="A68" s="1"/>
      <c r="B68" s="1"/>
      <c r="E68" s="1"/>
      <c r="F68" s="2" t="s">
        <v>2</v>
      </c>
      <c r="G68" s="1">
        <v>1</v>
      </c>
      <c r="H68" s="1"/>
    </row>
    <row r="69" spans="1:10" ht="45" x14ac:dyDescent="0.25">
      <c r="A69" s="1"/>
      <c r="B69" s="1"/>
      <c r="C69" s="1"/>
      <c r="D69" s="1"/>
      <c r="E69" s="1"/>
      <c r="F69" s="2" t="s">
        <v>1</v>
      </c>
      <c r="G69" s="1">
        <v>4</v>
      </c>
      <c r="H69" s="1"/>
    </row>
    <row r="70" spans="1:10" x14ac:dyDescent="0.25">
      <c r="A70" s="1"/>
      <c r="B70" s="1"/>
      <c r="C70" s="1" t="s">
        <v>0</v>
      </c>
      <c r="D70" s="1">
        <f>6*35</f>
        <v>210</v>
      </c>
      <c r="E70" s="1"/>
      <c r="F70" s="1"/>
      <c r="G70" s="1"/>
      <c r="H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RENTERIA CAMACHO, ALBERTO</dc:creator>
  <cp:lastModifiedBy>RENTERIA CAMACHO, ALBERTO</cp:lastModifiedBy>
  <dcterms:created xsi:type="dcterms:W3CDTF">2025-12-03T03:02:45Z</dcterms:created>
  <dcterms:modified xsi:type="dcterms:W3CDTF">2025-12-03T03:03:18Z</dcterms:modified>
</cp:coreProperties>
</file>