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.Renteria\iteso\bosque\sistematizacion\"/>
    </mc:Choice>
  </mc:AlternateContent>
  <xr:revisionPtr revIDLastSave="0" documentId="13_ncr:1_{C9A27511-841D-4CD4-8013-BCD6E14C7A50}" xr6:coauthVersionLast="47" xr6:coauthVersionMax="47" xr10:uidLastSave="{00000000-0000-0000-0000-000000000000}"/>
  <bookViews>
    <workbookView xWindow="-120" yWindow="-120" windowWidth="20730" windowHeight="11040" xr2:uid="{511728EA-EEBE-4DEB-B5D3-17150CC55C17}"/>
  </bookViews>
  <sheets>
    <sheet name="Sofiobr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9" i="2" s="1"/>
  <c r="C10" i="2"/>
  <c r="C11" i="2" s="1"/>
  <c r="C13" i="2"/>
  <c r="C14" i="2"/>
  <c r="C15" i="2"/>
  <c r="C16" i="2"/>
  <c r="C22" i="2"/>
  <c r="C26" i="2"/>
  <c r="C30" i="2"/>
  <c r="C35" i="2"/>
  <c r="C39" i="2"/>
  <c r="C41" i="2"/>
  <c r="C48" i="2" s="1"/>
  <c r="C45" i="2"/>
  <c r="C57" i="2"/>
  <c r="C63" i="2" s="1"/>
  <c r="C78" i="2"/>
  <c r="C80" i="2"/>
  <c r="C81" i="2"/>
  <c r="C85" i="2"/>
  <c r="C86" i="2"/>
  <c r="C87" i="2"/>
  <c r="C88" i="2"/>
  <c r="C90" i="2"/>
  <c r="C92" i="2"/>
  <c r="C94" i="2"/>
  <c r="C97" i="2"/>
  <c r="C100" i="2"/>
  <c r="C102" i="2"/>
  <c r="C103" i="2"/>
  <c r="C104" i="2"/>
  <c r="C105" i="2"/>
  <c r="C107" i="2"/>
  <c r="C111" i="2"/>
  <c r="C112" i="2"/>
  <c r="C115" i="2"/>
  <c r="C117" i="2"/>
  <c r="C118" i="2"/>
  <c r="C122" i="2"/>
  <c r="C123" i="2"/>
  <c r="C126" i="2"/>
  <c r="C127" i="2"/>
  <c r="C129" i="2"/>
  <c r="C130" i="2"/>
  <c r="C131" i="2"/>
  <c r="C132" i="2"/>
  <c r="C138" i="2"/>
  <c r="C139" i="2"/>
  <c r="C145" i="2"/>
  <c r="C146" i="2"/>
  <c r="C147" i="2"/>
  <c r="C149" i="2"/>
  <c r="C151" i="2"/>
  <c r="C153" i="2"/>
  <c r="C154" i="2"/>
  <c r="C156" i="2"/>
  <c r="C162" i="2"/>
  <c r="C163" i="2"/>
  <c r="C166" i="2"/>
  <c r="C167" i="2"/>
  <c r="C169" i="2"/>
  <c r="C170" i="2"/>
  <c r="C171" i="2"/>
  <c r="C173" i="2"/>
  <c r="C175" i="2"/>
  <c r="C176" i="2"/>
  <c r="C185" i="2"/>
  <c r="C192" i="2"/>
  <c r="C193" i="2"/>
  <c r="C194" i="2"/>
  <c r="C195" i="2"/>
  <c r="C197" i="2"/>
  <c r="C198" i="2"/>
  <c r="C203" i="2"/>
  <c r="C205" i="2"/>
  <c r="C208" i="2"/>
  <c r="C209" i="2"/>
  <c r="C212" i="2"/>
  <c r="C213" i="2"/>
  <c r="C216" i="2"/>
  <c r="C217" i="2"/>
  <c r="C219" i="2"/>
  <c r="C220" i="2"/>
  <c r="C221" i="2"/>
  <c r="C225" i="2"/>
  <c r="C229" i="2"/>
  <c r="C232" i="2"/>
  <c r="C233" i="2"/>
  <c r="C237" i="2"/>
  <c r="C238" i="2"/>
  <c r="C239" i="2"/>
  <c r="C240" i="2"/>
  <c r="C244" i="2"/>
  <c r="C247" i="2"/>
  <c r="C248" i="2"/>
  <c r="C250" i="2"/>
  <c r="C254" i="2"/>
  <c r="C255" i="2"/>
  <c r="C256" i="2"/>
  <c r="C260" i="2"/>
  <c r="C265" i="2"/>
  <c r="C266" i="2"/>
  <c r="C267" i="2"/>
  <c r="C272" i="2"/>
  <c r="C273" i="2"/>
  <c r="C274" i="2"/>
  <c r="C275" i="2"/>
  <c r="C276" i="2"/>
  <c r="C279" i="2"/>
  <c r="C283" i="2" s="1"/>
  <c r="C282" i="2"/>
  <c r="C284" i="2"/>
  <c r="C286" i="2"/>
  <c r="C292" i="2"/>
  <c r="C293" i="2"/>
</calcChain>
</file>

<file path=xl/sharedStrings.xml><?xml version="1.0" encoding="utf-8"?>
<sst xmlns="http://schemas.openxmlformats.org/spreadsheetml/2006/main" count="801" uniqueCount="215">
  <si>
    <t>/</t>
  </si>
  <si>
    <t>U3R7-4</t>
  </si>
  <si>
    <t>Género Aristida</t>
  </si>
  <si>
    <t>U3R7-3</t>
  </si>
  <si>
    <t>U3R7-2</t>
  </si>
  <si>
    <t>U3R7-1</t>
  </si>
  <si>
    <t>U3R1-4</t>
  </si>
  <si>
    <t>varios</t>
  </si>
  <si>
    <t>U3R1-3</t>
  </si>
  <si>
    <t>casi todo</t>
  </si>
  <si>
    <t>U3R1-2</t>
  </si>
  <si>
    <t>aristolochia bracteosa</t>
  </si>
  <si>
    <t>U3R1-1</t>
  </si>
  <si>
    <t>7,8</t>
  </si>
  <si>
    <t>Zacatón Fino (Muhlenbergia stricta)</t>
  </si>
  <si>
    <t>U3R8-4</t>
  </si>
  <si>
    <t>U3R8-3</t>
  </si>
  <si>
    <t>5,6</t>
  </si>
  <si>
    <t>varias</t>
  </si>
  <si>
    <t>U3R8-2</t>
  </si>
  <si>
    <t>anisillo (TAGETES MICRANTHA)</t>
  </si>
  <si>
    <t>erinus alpinus</t>
  </si>
  <si>
    <t>3,4</t>
  </si>
  <si>
    <t>stevia ovata</t>
  </si>
  <si>
    <t>1,2</t>
  </si>
  <si>
    <t>U3R8-1</t>
  </si>
  <si>
    <t>género chameacrista</t>
  </si>
  <si>
    <t>mitracarpues hirtus</t>
  </si>
  <si>
    <t>U4R4-4</t>
  </si>
  <si>
    <t>subfamilia faboideae</t>
  </si>
  <si>
    <t>U4R4-3</t>
  </si>
  <si>
    <t>6,7</t>
  </si>
  <si>
    <t>como un agave que le salen picos como de las hojas</t>
  </si>
  <si>
    <t>4,5</t>
  </si>
  <si>
    <t>U4R4-2</t>
  </si>
  <si>
    <t>un solo tallo de donde sale lo de la foto</t>
  </si>
  <si>
    <t>U4R4-1</t>
  </si>
  <si>
    <t>13,14</t>
  </si>
  <si>
    <t>U4R3-4</t>
  </si>
  <si>
    <t>genero crocanthem</t>
  </si>
  <si>
    <t xml:space="preserve">Género Aristida  </t>
  </si>
  <si>
    <t>género crocanthemum</t>
  </si>
  <si>
    <t>U4R3-3</t>
  </si>
  <si>
    <t>Género Aristida seco</t>
  </si>
  <si>
    <t>género salvia</t>
  </si>
  <si>
    <t>U4R3-2</t>
  </si>
  <si>
    <t>cinia naranja (zinnia angustiflora)</t>
  </si>
  <si>
    <t>cabezona  (eryngium carlinae)</t>
  </si>
  <si>
    <t>U4R3-1</t>
  </si>
  <si>
    <t>U10R4-4</t>
  </si>
  <si>
    <t>género aeschynomene</t>
  </si>
  <si>
    <t>12,13</t>
  </si>
  <si>
    <t>U10R4-3</t>
  </si>
  <si>
    <t>culantrillo (spermacoce verticilata)</t>
  </si>
  <si>
    <t>10,11</t>
  </si>
  <si>
    <t>U10R4-2</t>
  </si>
  <si>
    <t>garañona (calyptocarpus vialis)</t>
  </si>
  <si>
    <t>8,9</t>
  </si>
  <si>
    <t>hoja medo lanceolada y peludita</t>
  </si>
  <si>
    <t>U10R4-1</t>
  </si>
  <si>
    <t>U10R3-4</t>
  </si>
  <si>
    <t>género gaga</t>
  </si>
  <si>
    <t>U10R3-3</t>
  </si>
  <si>
    <t>U10R3-2</t>
  </si>
  <si>
    <t>tipo huizapoles</t>
  </si>
  <si>
    <t>2,3</t>
  </si>
  <si>
    <t>U10R3-1</t>
  </si>
  <si>
    <t>U12R6-4</t>
  </si>
  <si>
    <t>todo el cuadrado</t>
  </si>
  <si>
    <t>hojas trianguares con picos</t>
  </si>
  <si>
    <t>U12R6-3</t>
  </si>
  <si>
    <t>U12R6-2</t>
  </si>
  <si>
    <t>U12R6-1</t>
  </si>
  <si>
    <t>cresta de gallo (castilleja arvensis)</t>
  </si>
  <si>
    <t>3,4,5</t>
  </si>
  <si>
    <t>todo</t>
  </si>
  <si>
    <t>liendrilla de venado (muhlenbergia rigens)</t>
  </si>
  <si>
    <t>U12R5-4</t>
  </si>
  <si>
    <t>U12R5-3</t>
  </si>
  <si>
    <t>U12R5-2</t>
  </si>
  <si>
    <t>U12R5-1</t>
  </si>
  <si>
    <t>U12R4-4</t>
  </si>
  <si>
    <t>U12R4-3</t>
  </si>
  <si>
    <t>hierba pegada al tronco hojas en 4 medio lanceoladas redondas medio peluditas</t>
  </si>
  <si>
    <t>U12R4-2</t>
  </si>
  <si>
    <t>hojas lanceoladas verde brillante tallo largo</t>
  </si>
  <si>
    <t>U12R4-1</t>
  </si>
  <si>
    <t>U8R1-4</t>
  </si>
  <si>
    <t>U8R1-3</t>
  </si>
  <si>
    <t>diastatea tenera</t>
  </si>
  <si>
    <t>U8R1-2</t>
  </si>
  <si>
    <t>género valeriana</t>
  </si>
  <si>
    <t>U8R1-1</t>
  </si>
  <si>
    <t>1,2,3</t>
  </si>
  <si>
    <t>U8R5-4</t>
  </si>
  <si>
    <t>21,22,23</t>
  </si>
  <si>
    <t>aceitilla</t>
  </si>
  <si>
    <t>19,20</t>
  </si>
  <si>
    <t>U8R5-3</t>
  </si>
  <si>
    <t>15,16</t>
  </si>
  <si>
    <t>U8R5-2</t>
  </si>
  <si>
    <t>la de las cosas cafes</t>
  </si>
  <si>
    <t>hojas verdes brillantes con textura</t>
  </si>
  <si>
    <t>subfamilia asteroideae</t>
  </si>
  <si>
    <t>U8R5-1</t>
  </si>
  <si>
    <t>genero tagete</t>
  </si>
  <si>
    <t>2,9</t>
  </si>
  <si>
    <t>U2R3-4</t>
  </si>
  <si>
    <t>U2R3-3</t>
  </si>
  <si>
    <t>hojas grandes medi circular aterciopeladas</t>
  </si>
  <si>
    <t>6 a 7</t>
  </si>
  <si>
    <t>muchos</t>
  </si>
  <si>
    <t>liendrilla de venado</t>
  </si>
  <si>
    <t>U2R3-2</t>
  </si>
  <si>
    <t>U2R3-1</t>
  </si>
  <si>
    <t>2 a 4</t>
  </si>
  <si>
    <t>U2R4-4</t>
  </si>
  <si>
    <t>salvia consuelda (salvia prunelloides)</t>
  </si>
  <si>
    <t>7 a 8</t>
  </si>
  <si>
    <t>11:49 m</t>
  </si>
  <si>
    <t xml:space="preserve">Género Aristida </t>
  </si>
  <si>
    <t>U2R4-3</t>
  </si>
  <si>
    <t xml:space="preserve">es muy chiquito y tiene hojas medio lanceoladas con picos aterciopelados </t>
  </si>
  <si>
    <t>1 a 5</t>
  </si>
  <si>
    <t>U2R4-2</t>
  </si>
  <si>
    <t>mucho</t>
  </si>
  <si>
    <t>U2R4-1</t>
  </si>
  <si>
    <t>U1R5-4</t>
  </si>
  <si>
    <t>género dalea</t>
  </si>
  <si>
    <t>22-23</t>
  </si>
  <si>
    <t>U1R5-3</t>
  </si>
  <si>
    <t>20-21</t>
  </si>
  <si>
    <t>U1R5-2</t>
  </si>
  <si>
    <t>hojas bien chiquitas redondas</t>
  </si>
  <si>
    <t>17 a 19</t>
  </si>
  <si>
    <t>U1R5-1</t>
  </si>
  <si>
    <t>14 a 16</t>
  </si>
  <si>
    <t>muchisimo</t>
  </si>
  <si>
    <t>U1R6-4</t>
  </si>
  <si>
    <t>U1R6-3</t>
  </si>
  <si>
    <t>11 a 13</t>
  </si>
  <si>
    <t>U1R6-2</t>
  </si>
  <si>
    <t>3 con flores, 6 sin flores</t>
  </si>
  <si>
    <t>U1R6-1</t>
  </si>
  <si>
    <t>chamaecrista rotundifolia</t>
  </si>
  <si>
    <t>30 bolitas de flores</t>
  </si>
  <si>
    <t>3 a 5</t>
  </si>
  <si>
    <t>hojas medi lanceoladas con picos medio peluditas como con picos verdes</t>
  </si>
  <si>
    <t>canastilla (phyllanthus carolinensis)</t>
  </si>
  <si>
    <t>arnica de la costa (Verbesina fastigata)</t>
  </si>
  <si>
    <t>genero desmodium</t>
  </si>
  <si>
    <t>2 bonches</t>
  </si>
  <si>
    <t>Burrillo (Stevia serrata)</t>
  </si>
  <si>
    <t>bretonica (lepechinia caulescens)</t>
  </si>
  <si>
    <t>por todos lados</t>
  </si>
  <si>
    <t>extendida por todo el cuadro</t>
  </si>
  <si>
    <t>hoja circular rastrera</t>
  </si>
  <si>
    <t>Género Aristidas</t>
  </si>
  <si>
    <t>4 a 6</t>
  </si>
  <si>
    <t>U8R7-1</t>
  </si>
  <si>
    <t>1, 2</t>
  </si>
  <si>
    <t>5 grupos de flores</t>
  </si>
  <si>
    <t>manzanilla</t>
  </si>
  <si>
    <t>genero hylodesmum</t>
  </si>
  <si>
    <t>picos (hierba sapo)</t>
  </si>
  <si>
    <t>8 grupos de flores</t>
  </si>
  <si>
    <t>1 a 3</t>
  </si>
  <si>
    <t>12 a 16</t>
  </si>
  <si>
    <t>11 a 16</t>
  </si>
  <si>
    <t>acederilla (oxalis decaphylla)</t>
  </si>
  <si>
    <t>9,10</t>
  </si>
  <si>
    <t>5  8</t>
  </si>
  <si>
    <t>10 grupos de flores</t>
  </si>
  <si>
    <t>1 a 4</t>
  </si>
  <si>
    <t>12 a 14</t>
  </si>
  <si>
    <t>9 a 11</t>
  </si>
  <si>
    <t>4 a 8</t>
  </si>
  <si>
    <t>5 con flor, 3 sin flor</t>
  </si>
  <si>
    <t>U8R8-1</t>
  </si>
  <si>
    <t>U5R2-4</t>
  </si>
  <si>
    <t>género crotalaria</t>
  </si>
  <si>
    <t>U5R2-3</t>
  </si>
  <si>
    <t>manzanilla pequeña</t>
  </si>
  <si>
    <t>5 a 10</t>
  </si>
  <si>
    <t>Género Aristidas largos medio morados como con trigo</t>
  </si>
  <si>
    <t>3 tallos con semillas</t>
  </si>
  <si>
    <t>U5R2-2</t>
  </si>
  <si>
    <t>4 tallos con semillas</t>
  </si>
  <si>
    <t>manzanilla de burro</t>
  </si>
  <si>
    <t>U5R2-1</t>
  </si>
  <si>
    <t>género tagetes</t>
  </si>
  <si>
    <t>en semila</t>
  </si>
  <si>
    <t>genero lepechinia</t>
  </si>
  <si>
    <t>3 a 8</t>
  </si>
  <si>
    <t>U5R1-4</t>
  </si>
  <si>
    <t>género adiantum</t>
  </si>
  <si>
    <t>U5R1-3</t>
  </si>
  <si>
    <t>U5R1-2</t>
  </si>
  <si>
    <t>crecimiento lento, parece maiz</t>
  </si>
  <si>
    <t>U5R1-1</t>
  </si>
  <si>
    <t>lanceoladas</t>
  </si>
  <si>
    <t>género oplismenus</t>
  </si>
  <si>
    <t>hora</t>
  </si>
  <si>
    <t>fecha</t>
  </si>
  <si>
    <t>num especies herbaceas</t>
  </si>
  <si>
    <t>num_flores</t>
  </si>
  <si>
    <t>Descripcion_herb</t>
  </si>
  <si>
    <t>num_fotos</t>
  </si>
  <si>
    <t>Código</t>
  </si>
  <si>
    <t>U8R8-2</t>
  </si>
  <si>
    <t>U8R8-3</t>
  </si>
  <si>
    <t>U8R8-4</t>
  </si>
  <si>
    <t>U8R7-2</t>
  </si>
  <si>
    <t>U8R7-3</t>
  </si>
  <si>
    <t>U8R7-4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</si>
</sst>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rgb="FF000000"/>
      <name val="Trebuchet MS"/>
      <family val="2"/>
    </font>
    <font>
      <sz val="15"/>
      <color rgb="FFAAAAAA"/>
      <name val="Trebuchet MS"/>
      <family val="2"/>
    </font>
    <font>
      <sz val="11"/>
      <name val="Aptos Narrow"/>
      <family val="2"/>
      <scheme val="minor"/>
    </font>
    <font>
      <i/>
      <sz val="24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5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20" fontId="0" fillId="0" borderId="0" xfId="0" applyNumberFormat="1"/>
    <xf numFmtId="20" fontId="0" fillId="0" borderId="1" xfId="0" applyNumberFormat="1" applyBorder="1"/>
    <xf numFmtId="0" fontId="2" fillId="0" borderId="1" xfId="0" applyFont="1" applyBorder="1"/>
    <xf numFmtId="0" fontId="3" fillId="0" borderId="0" xfId="0" applyFont="1" applyAlignment="1">
      <alignment vertical="center" wrapText="1"/>
    </xf>
    <xf numFmtId="0" fontId="0" fillId="2" borderId="0" xfId="0" applyFill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vertical="center" wrapText="1"/>
    </xf>
    <xf numFmtId="18" fontId="0" fillId="0" borderId="0" xfId="0" applyNumberFormat="1"/>
    <xf numFmtId="0" fontId="2" fillId="0" borderId="0" xfId="0" applyFont="1" applyAlignment="1">
      <alignment horizontal="center" wrapText="1"/>
    </xf>
    <xf numFmtId="14" fontId="0" fillId="0" borderId="0" xfId="0" applyNumberFormat="1"/>
    <xf numFmtId="0" fontId="5" fillId="0" borderId="0" xfId="0" applyFont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1" fillId="2" borderId="0" xfId="0" applyFont="1" applyFill="1" applyAlignment="1">
      <alignment horizontal="center"/>
    </xf>
    <xf numFmtId="16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center" wrapText="1"/>
    </xf>
    <xf numFmtId="18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CC8D-19DB-4F10-A8B8-EF7397BE40EE}">
  <dimension ref="A1:L293"/>
  <sheetViews>
    <sheetView tabSelected="1" topLeftCell="A180" zoomScale="83" zoomScaleNormal="97" workbookViewId="0">
      <selection activeCell="A71" sqref="A71"/>
    </sheetView>
  </sheetViews>
  <sheetFormatPr defaultColWidth="11.42578125" defaultRowHeight="15" x14ac:dyDescent="0.25"/>
  <cols>
    <col min="3" max="3" width="22.85546875" style="1" customWidth="1"/>
  </cols>
  <sheetData>
    <row r="1" spans="1:10" ht="45" x14ac:dyDescent="0.25">
      <c r="A1" s="34" t="s">
        <v>208</v>
      </c>
      <c r="B1" s="34" t="s">
        <v>207</v>
      </c>
      <c r="C1" s="34" t="s">
        <v>206</v>
      </c>
      <c r="D1" s="34" t="s">
        <v>205</v>
      </c>
      <c r="E1" s="34" t="s">
        <v>204</v>
      </c>
      <c r="F1" s="34" t="s">
        <v>203</v>
      </c>
      <c r="G1" s="34" t="s">
        <v>202</v>
      </c>
      <c r="H1" s="2"/>
      <c r="I1" s="2"/>
    </row>
    <row r="2" spans="1:10" ht="30.75" x14ac:dyDescent="0.25">
      <c r="A2" s="8" t="s">
        <v>199</v>
      </c>
      <c r="B2" s="23">
        <v>1</v>
      </c>
      <c r="C2" s="1" t="s">
        <v>201</v>
      </c>
      <c r="D2" s="24" t="s">
        <v>0</v>
      </c>
      <c r="E2" s="23" t="s">
        <v>18</v>
      </c>
      <c r="F2" s="18">
        <v>45938</v>
      </c>
      <c r="G2" s="16">
        <v>0.45555555555555555</v>
      </c>
      <c r="I2" s="8"/>
      <c r="J2" s="12"/>
    </row>
    <row r="3" spans="1:10" x14ac:dyDescent="0.25">
      <c r="A3" t="s">
        <v>199</v>
      </c>
      <c r="B3" s="23">
        <v>2</v>
      </c>
      <c r="C3" s="7" t="s">
        <v>11</v>
      </c>
      <c r="D3" s="24" t="s">
        <v>0</v>
      </c>
      <c r="E3" s="23">
        <v>1</v>
      </c>
      <c r="F3" s="18">
        <v>45938</v>
      </c>
    </row>
    <row r="4" spans="1:10" x14ac:dyDescent="0.25">
      <c r="A4" t="s">
        <v>199</v>
      </c>
      <c r="B4" s="23">
        <v>3</v>
      </c>
      <c r="C4" s="13" t="s">
        <v>200</v>
      </c>
      <c r="D4" s="24" t="s">
        <v>0</v>
      </c>
      <c r="E4" s="23">
        <v>1</v>
      </c>
      <c r="F4" s="18">
        <v>45938</v>
      </c>
    </row>
    <row r="5" spans="1:10" ht="30.75" x14ac:dyDescent="0.25">
      <c r="A5" t="s">
        <v>199</v>
      </c>
      <c r="B5" s="23">
        <v>4</v>
      </c>
      <c r="C5" s="7" t="s">
        <v>117</v>
      </c>
      <c r="D5" s="24" t="s">
        <v>0</v>
      </c>
      <c r="E5" s="23">
        <v>1</v>
      </c>
      <c r="F5" s="18">
        <v>45938</v>
      </c>
      <c r="G5" s="12"/>
    </row>
    <row r="6" spans="1:10" ht="30" x14ac:dyDescent="0.25">
      <c r="A6" s="8" t="s">
        <v>197</v>
      </c>
      <c r="B6" s="23">
        <v>1</v>
      </c>
      <c r="C6" s="7" t="s">
        <v>117</v>
      </c>
      <c r="D6" s="24" t="s">
        <v>0</v>
      </c>
      <c r="E6" s="23">
        <v>1</v>
      </c>
      <c r="F6" s="18">
        <v>45938</v>
      </c>
      <c r="G6" s="16">
        <v>0.46111111111111114</v>
      </c>
    </row>
    <row r="7" spans="1:10" ht="30" x14ac:dyDescent="0.25">
      <c r="A7" t="s">
        <v>197</v>
      </c>
      <c r="B7" s="23">
        <v>2</v>
      </c>
      <c r="C7" s="1" t="s">
        <v>198</v>
      </c>
      <c r="D7" s="24" t="s">
        <v>0</v>
      </c>
      <c r="E7" s="23">
        <v>1</v>
      </c>
      <c r="F7" s="18">
        <v>45938</v>
      </c>
    </row>
    <row r="8" spans="1:10" x14ac:dyDescent="0.25">
      <c r="A8" t="s">
        <v>197</v>
      </c>
      <c r="B8" s="23">
        <v>3</v>
      </c>
      <c r="C8" s="1" t="str">
        <f>C2</f>
        <v>género oplismenus</v>
      </c>
      <c r="D8" s="24"/>
      <c r="E8" s="23">
        <v>2</v>
      </c>
      <c r="F8" s="18">
        <v>45938</v>
      </c>
    </row>
    <row r="9" spans="1:10" x14ac:dyDescent="0.25">
      <c r="A9" t="s">
        <v>197</v>
      </c>
      <c r="B9" s="23">
        <v>4</v>
      </c>
      <c r="C9" s="1" t="str">
        <f>C8</f>
        <v>género oplismenus</v>
      </c>
      <c r="D9" s="24" t="s">
        <v>0</v>
      </c>
      <c r="E9" s="23">
        <v>1</v>
      </c>
      <c r="F9" s="18">
        <v>45938</v>
      </c>
    </row>
    <row r="10" spans="1:10" x14ac:dyDescent="0.25">
      <c r="A10" t="s">
        <v>197</v>
      </c>
      <c r="B10" s="23">
        <v>5</v>
      </c>
      <c r="C10" s="1" t="str">
        <f>C2</f>
        <v>género oplismenus</v>
      </c>
      <c r="D10" s="24" t="s">
        <v>0</v>
      </c>
      <c r="E10" s="23">
        <v>1</v>
      </c>
      <c r="F10" s="18">
        <v>45938</v>
      </c>
    </row>
    <row r="11" spans="1:10" x14ac:dyDescent="0.25">
      <c r="A11" s="8" t="s">
        <v>196</v>
      </c>
      <c r="B11" s="23">
        <v>1</v>
      </c>
      <c r="C11" s="1" t="str">
        <f>C10</f>
        <v>género oplismenus</v>
      </c>
      <c r="D11" s="24" t="s">
        <v>0</v>
      </c>
      <c r="E11" s="23">
        <v>1</v>
      </c>
      <c r="F11" s="18">
        <v>45938</v>
      </c>
      <c r="G11" s="16">
        <v>0.46527777777777779</v>
      </c>
    </row>
    <row r="12" spans="1:10" ht="20.25" x14ac:dyDescent="0.25">
      <c r="A12" t="s">
        <v>196</v>
      </c>
      <c r="B12" s="23" t="s">
        <v>65</v>
      </c>
      <c r="C12" s="1" t="s">
        <v>195</v>
      </c>
      <c r="D12" s="24" t="s">
        <v>0</v>
      </c>
      <c r="E12" s="23" t="s">
        <v>18</v>
      </c>
      <c r="F12" s="18">
        <v>45938</v>
      </c>
      <c r="I12" s="15"/>
    </row>
    <row r="13" spans="1:10" x14ac:dyDescent="0.25">
      <c r="A13" s="8" t="s">
        <v>194</v>
      </c>
      <c r="B13" s="23">
        <v>1</v>
      </c>
      <c r="C13" s="1" t="str">
        <f>C4</f>
        <v>lanceoladas</v>
      </c>
      <c r="D13" s="24" t="s">
        <v>0</v>
      </c>
      <c r="E13" s="23">
        <v>1</v>
      </c>
      <c r="F13" s="18">
        <v>45938</v>
      </c>
      <c r="G13" s="16">
        <v>0.46875</v>
      </c>
    </row>
    <row r="14" spans="1:10" x14ac:dyDescent="0.25">
      <c r="A14" t="s">
        <v>194</v>
      </c>
      <c r="B14" s="23">
        <v>2</v>
      </c>
      <c r="C14" s="1" t="str">
        <f>C2</f>
        <v>género oplismenus</v>
      </c>
      <c r="D14" s="24" t="s">
        <v>0</v>
      </c>
      <c r="E14" s="23">
        <v>1</v>
      </c>
      <c r="F14" s="18">
        <v>45938</v>
      </c>
    </row>
    <row r="15" spans="1:10" x14ac:dyDescent="0.25">
      <c r="A15" t="s">
        <v>194</v>
      </c>
      <c r="B15" s="23">
        <v>3</v>
      </c>
      <c r="C15" s="1" t="str">
        <f>C2</f>
        <v>género oplismenus</v>
      </c>
      <c r="D15" s="24" t="s">
        <v>0</v>
      </c>
      <c r="E15" s="23" t="s">
        <v>18</v>
      </c>
      <c r="F15" s="18">
        <v>45938</v>
      </c>
    </row>
    <row r="16" spans="1:10" x14ac:dyDescent="0.25">
      <c r="A16" t="s">
        <v>194</v>
      </c>
      <c r="B16" s="23">
        <v>4</v>
      </c>
      <c r="C16" s="7" t="str">
        <f>C3</f>
        <v>aristolochia bracteosa</v>
      </c>
      <c r="D16" s="24" t="s">
        <v>0</v>
      </c>
      <c r="E16" s="23">
        <v>1</v>
      </c>
      <c r="F16" s="18">
        <v>45938</v>
      </c>
    </row>
    <row r="17" spans="1:10" x14ac:dyDescent="0.25">
      <c r="A17" t="s">
        <v>194</v>
      </c>
      <c r="B17" s="21">
        <v>5</v>
      </c>
      <c r="C17" s="5" t="s">
        <v>11</v>
      </c>
      <c r="D17" s="26" t="s">
        <v>0</v>
      </c>
      <c r="E17" s="21">
        <v>1</v>
      </c>
      <c r="F17" s="20">
        <v>45938</v>
      </c>
      <c r="G17" s="2"/>
      <c r="H17" s="2"/>
    </row>
    <row r="18" spans="1:10" x14ac:dyDescent="0.25">
      <c r="A18" s="8" t="s">
        <v>189</v>
      </c>
      <c r="B18" s="23" t="s">
        <v>24</v>
      </c>
      <c r="C18" s="7" t="s">
        <v>2</v>
      </c>
      <c r="D18" s="24" t="s">
        <v>0</v>
      </c>
      <c r="E18" s="23">
        <v>1</v>
      </c>
      <c r="F18" s="18">
        <v>45938</v>
      </c>
      <c r="G18" s="16">
        <v>0.4777777777777778</v>
      </c>
      <c r="I18" s="8"/>
    </row>
    <row r="19" spans="1:10" x14ac:dyDescent="0.25">
      <c r="A19" t="s">
        <v>189</v>
      </c>
      <c r="B19" s="23" t="s">
        <v>193</v>
      </c>
      <c r="C19" s="7" t="s">
        <v>192</v>
      </c>
      <c r="D19" s="24" t="s">
        <v>191</v>
      </c>
      <c r="E19" s="23">
        <v>6</v>
      </c>
      <c r="F19" s="18">
        <v>45938</v>
      </c>
    </row>
    <row r="20" spans="1:10" x14ac:dyDescent="0.25">
      <c r="A20" t="s">
        <v>189</v>
      </c>
      <c r="B20" s="23">
        <v>9</v>
      </c>
      <c r="C20" s="1" t="s">
        <v>190</v>
      </c>
      <c r="D20" s="24" t="s">
        <v>0</v>
      </c>
      <c r="E20" s="23"/>
      <c r="F20" s="18">
        <v>45938</v>
      </c>
    </row>
    <row r="21" spans="1:10" x14ac:dyDescent="0.25">
      <c r="A21" t="s">
        <v>189</v>
      </c>
      <c r="B21" s="23">
        <v>10</v>
      </c>
      <c r="C21" s="7" t="s">
        <v>188</v>
      </c>
      <c r="D21" s="24">
        <v>95</v>
      </c>
      <c r="E21" s="23" t="s">
        <v>18</v>
      </c>
      <c r="F21" s="18">
        <v>45938</v>
      </c>
    </row>
    <row r="22" spans="1:10" x14ac:dyDescent="0.25">
      <c r="A22" s="8" t="s">
        <v>186</v>
      </c>
      <c r="B22" s="23">
        <v>1</v>
      </c>
      <c r="C22" s="7" t="str">
        <f>C19</f>
        <v>genero lepechinia</v>
      </c>
      <c r="D22" s="24" t="s">
        <v>0</v>
      </c>
      <c r="E22" s="23" t="s">
        <v>18</v>
      </c>
      <c r="F22" s="18">
        <v>45938</v>
      </c>
      <c r="G22" s="16">
        <v>0.48055555555555557</v>
      </c>
    </row>
    <row r="23" spans="1:10" ht="30" x14ac:dyDescent="0.25">
      <c r="A23" t="s">
        <v>186</v>
      </c>
      <c r="B23" s="23" t="s">
        <v>65</v>
      </c>
      <c r="C23" s="7" t="s">
        <v>2</v>
      </c>
      <c r="D23" s="24" t="s">
        <v>187</v>
      </c>
      <c r="E23" s="23">
        <v>1</v>
      </c>
      <c r="F23" s="18">
        <v>45938</v>
      </c>
    </row>
    <row r="24" spans="1:10" ht="30" x14ac:dyDescent="0.25">
      <c r="A24" t="s">
        <v>186</v>
      </c>
      <c r="B24" s="23" t="s">
        <v>33</v>
      </c>
      <c r="C24" s="7" t="s">
        <v>2</v>
      </c>
      <c r="D24" s="24" t="s">
        <v>185</v>
      </c>
      <c r="E24" s="23">
        <v>51</v>
      </c>
      <c r="F24" s="18">
        <v>45938</v>
      </c>
    </row>
    <row r="25" spans="1:10" ht="45" x14ac:dyDescent="0.25">
      <c r="A25" s="8" t="s">
        <v>181</v>
      </c>
      <c r="B25" s="23" t="s">
        <v>24</v>
      </c>
      <c r="C25" s="7" t="s">
        <v>184</v>
      </c>
      <c r="D25" s="24"/>
      <c r="E25" s="23"/>
      <c r="F25" s="18">
        <v>45938</v>
      </c>
      <c r="G25" s="16">
        <v>0.4826388888888889</v>
      </c>
    </row>
    <row r="26" spans="1:10" x14ac:dyDescent="0.25">
      <c r="A26" t="s">
        <v>181</v>
      </c>
      <c r="B26" s="23" t="s">
        <v>22</v>
      </c>
      <c r="C26" s="7" t="str">
        <f>C23</f>
        <v>Género Aristida</v>
      </c>
      <c r="D26" s="24"/>
      <c r="E26" s="23" t="s">
        <v>18</v>
      </c>
      <c r="F26" s="18">
        <v>45938</v>
      </c>
    </row>
    <row r="27" spans="1:10" ht="30.75" x14ac:dyDescent="0.25">
      <c r="A27" t="s">
        <v>181</v>
      </c>
      <c r="B27" s="23" t="s">
        <v>183</v>
      </c>
      <c r="C27" s="7" t="s">
        <v>153</v>
      </c>
      <c r="D27" s="24"/>
      <c r="E27" s="23" t="s">
        <v>7</v>
      </c>
      <c r="F27" s="18">
        <v>45938</v>
      </c>
      <c r="G27" s="12"/>
    </row>
    <row r="28" spans="1:10" x14ac:dyDescent="0.25">
      <c r="A28" t="s">
        <v>181</v>
      </c>
      <c r="B28" s="23">
        <v>11</v>
      </c>
      <c r="C28" s="7" t="s">
        <v>182</v>
      </c>
      <c r="D28" s="24"/>
      <c r="E28" s="23">
        <v>2</v>
      </c>
      <c r="F28" s="18">
        <v>45938</v>
      </c>
    </row>
    <row r="29" spans="1:10" ht="20.25" x14ac:dyDescent="0.25">
      <c r="A29" t="s">
        <v>181</v>
      </c>
      <c r="B29" s="23">
        <v>12</v>
      </c>
      <c r="C29" s="1" t="s">
        <v>180</v>
      </c>
      <c r="D29" s="24"/>
      <c r="E29" s="23"/>
      <c r="F29" s="18">
        <v>45938</v>
      </c>
      <c r="G29" s="15"/>
    </row>
    <row r="30" spans="1:10" ht="30" x14ac:dyDescent="0.25">
      <c r="A30" s="11" t="s">
        <v>179</v>
      </c>
      <c r="B30" s="21"/>
      <c r="C30" s="14" t="str">
        <f>C27</f>
        <v>bretonica (lepechinia caulescens)</v>
      </c>
      <c r="D30" s="26"/>
      <c r="E30" s="21" t="s">
        <v>9</v>
      </c>
      <c r="F30" s="20">
        <v>45938</v>
      </c>
      <c r="G30" s="33">
        <v>0.48472222222222222</v>
      </c>
      <c r="H30" s="2"/>
      <c r="I30" s="2"/>
      <c r="J30" s="2"/>
    </row>
    <row r="31" spans="1:10" ht="30" x14ac:dyDescent="0.25">
      <c r="A31" s="8" t="s">
        <v>178</v>
      </c>
      <c r="B31" s="23" t="s">
        <v>24</v>
      </c>
      <c r="C31" s="32" t="s">
        <v>152</v>
      </c>
      <c r="D31" s="24" t="s">
        <v>172</v>
      </c>
      <c r="E31" s="29" t="s">
        <v>177</v>
      </c>
      <c r="F31" s="18">
        <v>45938</v>
      </c>
      <c r="G31" s="16">
        <v>0.5</v>
      </c>
      <c r="I31" s="8"/>
    </row>
    <row r="32" spans="1:10" x14ac:dyDescent="0.25">
      <c r="A32" t="s">
        <v>178</v>
      </c>
      <c r="B32" s="23" t="s">
        <v>176</v>
      </c>
      <c r="C32" s="17" t="s">
        <v>29</v>
      </c>
      <c r="D32" s="24" t="s">
        <v>0</v>
      </c>
      <c r="E32" s="23">
        <v>2</v>
      </c>
      <c r="F32" s="18">
        <v>45938</v>
      </c>
    </row>
    <row r="33" spans="1:8" x14ac:dyDescent="0.25">
      <c r="A33" t="s">
        <v>178</v>
      </c>
      <c r="B33" s="23" t="s">
        <v>175</v>
      </c>
      <c r="C33" s="17" t="s">
        <v>163</v>
      </c>
      <c r="D33" s="24">
        <v>70</v>
      </c>
      <c r="E33" s="23" t="s">
        <v>18</v>
      </c>
      <c r="F33" s="18">
        <v>45938</v>
      </c>
    </row>
    <row r="34" spans="1:8" ht="30" x14ac:dyDescent="0.25">
      <c r="A34" t="s">
        <v>178</v>
      </c>
      <c r="B34" s="23" t="s">
        <v>174</v>
      </c>
      <c r="C34" s="17" t="s">
        <v>149</v>
      </c>
      <c r="D34" s="24">
        <v>39</v>
      </c>
      <c r="E34" s="23" t="s">
        <v>18</v>
      </c>
      <c r="F34" s="18">
        <v>45938</v>
      </c>
    </row>
    <row r="35" spans="1:8" ht="30" x14ac:dyDescent="0.25">
      <c r="A35" s="8" t="s">
        <v>209</v>
      </c>
      <c r="B35" s="23" t="s">
        <v>173</v>
      </c>
      <c r="C35" s="17" t="str">
        <f>C31</f>
        <v>Burrillo (Stevia serrata)</v>
      </c>
      <c r="D35" s="24" t="s">
        <v>172</v>
      </c>
      <c r="E35" s="23">
        <v>5</v>
      </c>
      <c r="F35" s="18">
        <v>45938</v>
      </c>
      <c r="G35" s="16">
        <v>0.50555555555555554</v>
      </c>
    </row>
    <row r="36" spans="1:8" ht="20.25" x14ac:dyDescent="0.25">
      <c r="A36" t="s">
        <v>209</v>
      </c>
      <c r="B36" s="23" t="s">
        <v>171</v>
      </c>
      <c r="C36" s="17" t="s">
        <v>29</v>
      </c>
      <c r="D36" s="24" t="s">
        <v>0</v>
      </c>
      <c r="E36" s="23">
        <v>3</v>
      </c>
      <c r="F36" s="18">
        <v>45938</v>
      </c>
      <c r="H36" s="15"/>
    </row>
    <row r="37" spans="1:8" x14ac:dyDescent="0.25">
      <c r="A37" t="s">
        <v>209</v>
      </c>
      <c r="B37" s="23" t="s">
        <v>170</v>
      </c>
      <c r="C37" s="8" t="s">
        <v>169</v>
      </c>
      <c r="D37" s="24" t="s">
        <v>0</v>
      </c>
      <c r="E37" s="23" t="s">
        <v>18</v>
      </c>
      <c r="F37" s="18">
        <v>45938</v>
      </c>
    </row>
    <row r="38" spans="1:8" ht="20.25" x14ac:dyDescent="0.25">
      <c r="A38" t="s">
        <v>209</v>
      </c>
      <c r="B38" s="23" t="s">
        <v>168</v>
      </c>
      <c r="C38" s="17" t="s">
        <v>105</v>
      </c>
      <c r="D38" s="24">
        <v>60</v>
      </c>
      <c r="E38" s="23" t="s">
        <v>18</v>
      </c>
      <c r="F38" s="18">
        <v>45938</v>
      </c>
      <c r="H38" s="15"/>
    </row>
    <row r="39" spans="1:8" ht="30" x14ac:dyDescent="0.25">
      <c r="A39" t="s">
        <v>209</v>
      </c>
      <c r="B39" s="23" t="s">
        <v>167</v>
      </c>
      <c r="C39" s="17" t="str">
        <f>C34</f>
        <v>arnica de la costa (Verbesina fastigata)</v>
      </c>
      <c r="D39" s="24">
        <v>50</v>
      </c>
      <c r="E39" s="23">
        <v>4</v>
      </c>
      <c r="F39" s="18">
        <v>45938</v>
      </c>
    </row>
    <row r="40" spans="1:8" x14ac:dyDescent="0.25">
      <c r="A40" t="s">
        <v>209</v>
      </c>
      <c r="B40" s="23">
        <v>1</v>
      </c>
      <c r="C40" s="17" t="s">
        <v>157</v>
      </c>
      <c r="D40" s="24" t="s">
        <v>0</v>
      </c>
      <c r="E40" s="23">
        <v>1</v>
      </c>
      <c r="F40" s="18">
        <v>45938</v>
      </c>
    </row>
    <row r="41" spans="1:8" ht="30" x14ac:dyDescent="0.25">
      <c r="A41" s="8" t="s">
        <v>210</v>
      </c>
      <c r="B41" s="23" t="s">
        <v>166</v>
      </c>
      <c r="C41" s="17" t="str">
        <f>C31</f>
        <v>Burrillo (Stevia serrata)</v>
      </c>
      <c r="D41" s="24" t="s">
        <v>165</v>
      </c>
      <c r="E41" s="23">
        <v>3</v>
      </c>
      <c r="F41" s="18">
        <v>45938</v>
      </c>
      <c r="G41" s="16">
        <v>0.50902777777777775</v>
      </c>
    </row>
    <row r="42" spans="1:8" x14ac:dyDescent="0.25">
      <c r="A42" t="s">
        <v>210</v>
      </c>
      <c r="B42" s="23"/>
      <c r="C42" s="17" t="s">
        <v>163</v>
      </c>
      <c r="D42" s="24">
        <v>150</v>
      </c>
      <c r="E42" s="23" t="s">
        <v>7</v>
      </c>
      <c r="F42" s="18">
        <v>45938</v>
      </c>
    </row>
    <row r="43" spans="1:8" x14ac:dyDescent="0.25">
      <c r="A43" t="s">
        <v>210</v>
      </c>
      <c r="B43" s="23"/>
      <c r="C43" s="17" t="s">
        <v>164</v>
      </c>
      <c r="D43" s="24">
        <v>8</v>
      </c>
      <c r="E43" s="23">
        <v>1</v>
      </c>
      <c r="F43" s="18">
        <v>45938</v>
      </c>
    </row>
    <row r="44" spans="1:8" x14ac:dyDescent="0.25">
      <c r="A44" t="s">
        <v>210</v>
      </c>
      <c r="B44" s="23"/>
      <c r="C44" s="17" t="s">
        <v>29</v>
      </c>
      <c r="D44" s="24" t="s">
        <v>0</v>
      </c>
      <c r="E44" s="23">
        <v>3</v>
      </c>
      <c r="F44" s="18">
        <v>45938</v>
      </c>
    </row>
    <row r="45" spans="1:8" x14ac:dyDescent="0.25">
      <c r="A45" t="s">
        <v>210</v>
      </c>
      <c r="B45" s="23">
        <v>4</v>
      </c>
      <c r="C45" s="24" t="str">
        <f>C4</f>
        <v>lanceoladas</v>
      </c>
      <c r="D45" s="24" t="s">
        <v>0</v>
      </c>
      <c r="E45" s="23"/>
      <c r="F45" s="18">
        <v>45938</v>
      </c>
    </row>
    <row r="46" spans="1:8" x14ac:dyDescent="0.25">
      <c r="A46" s="8" t="s">
        <v>211</v>
      </c>
      <c r="B46" s="23"/>
      <c r="C46" s="17" t="s">
        <v>163</v>
      </c>
      <c r="D46" s="24">
        <v>200</v>
      </c>
      <c r="E46" s="23" t="s">
        <v>7</v>
      </c>
      <c r="F46" s="18">
        <v>45938</v>
      </c>
      <c r="G46" s="16">
        <v>0.51180555555555551</v>
      </c>
    </row>
    <row r="47" spans="1:8" x14ac:dyDescent="0.25">
      <c r="A47" t="s">
        <v>211</v>
      </c>
      <c r="B47" s="23"/>
      <c r="C47" s="17" t="s">
        <v>162</v>
      </c>
      <c r="D47" s="24">
        <v>3</v>
      </c>
      <c r="E47" s="23">
        <v>1</v>
      </c>
      <c r="F47" s="18">
        <v>45938</v>
      </c>
    </row>
    <row r="48" spans="1:8" ht="30" x14ac:dyDescent="0.25">
      <c r="A48" t="s">
        <v>211</v>
      </c>
      <c r="B48" s="23"/>
      <c r="C48" s="17" t="str">
        <f>C41</f>
        <v>Burrillo (Stevia serrata)</v>
      </c>
      <c r="D48" s="24" t="s">
        <v>161</v>
      </c>
      <c r="E48" s="23">
        <v>4</v>
      </c>
      <c r="F48" s="18">
        <v>45938</v>
      </c>
    </row>
    <row r="49" spans="1:9" x14ac:dyDescent="0.25">
      <c r="A49" t="s">
        <v>211</v>
      </c>
      <c r="B49" s="23"/>
      <c r="C49" s="17" t="s">
        <v>157</v>
      </c>
      <c r="D49" s="24" t="s">
        <v>0</v>
      </c>
      <c r="E49" s="23">
        <v>3</v>
      </c>
      <c r="F49" s="18">
        <v>45938</v>
      </c>
    </row>
    <row r="50" spans="1:9" x14ac:dyDescent="0.25">
      <c r="A50" t="s">
        <v>211</v>
      </c>
      <c r="B50" s="23" t="s">
        <v>160</v>
      </c>
      <c r="C50" s="27" t="s">
        <v>148</v>
      </c>
      <c r="D50" s="24" t="s">
        <v>0</v>
      </c>
      <c r="E50" s="23">
        <v>5</v>
      </c>
      <c r="F50" s="18">
        <v>45938</v>
      </c>
    </row>
    <row r="51" spans="1:9" ht="30.75" x14ac:dyDescent="0.25">
      <c r="A51" t="s">
        <v>211</v>
      </c>
      <c r="B51" s="23">
        <v>3</v>
      </c>
      <c r="C51" s="17" t="s">
        <v>47</v>
      </c>
      <c r="D51" s="24" t="s">
        <v>0</v>
      </c>
      <c r="E51" s="23">
        <v>1</v>
      </c>
      <c r="F51" s="18">
        <v>45938</v>
      </c>
      <c r="H51" s="12"/>
    </row>
    <row r="52" spans="1:9" x14ac:dyDescent="0.25">
      <c r="A52" s="2" t="s">
        <v>211</v>
      </c>
      <c r="B52" s="21">
        <v>4</v>
      </c>
      <c r="C52" s="27" t="s">
        <v>29</v>
      </c>
      <c r="D52" s="24" t="s">
        <v>0</v>
      </c>
      <c r="E52" s="21">
        <v>1</v>
      </c>
      <c r="F52" s="20">
        <v>45938</v>
      </c>
      <c r="G52" s="2"/>
    </row>
    <row r="53" spans="1:9" x14ac:dyDescent="0.25">
      <c r="A53" s="8" t="s">
        <v>159</v>
      </c>
      <c r="B53" s="23" t="s">
        <v>24</v>
      </c>
      <c r="C53" s="17" t="s">
        <v>21</v>
      </c>
      <c r="D53" s="24" t="s">
        <v>0</v>
      </c>
      <c r="E53" s="23">
        <v>6</v>
      </c>
      <c r="F53" s="18">
        <v>45938</v>
      </c>
      <c r="G53" s="16">
        <v>0.51597222222222228</v>
      </c>
      <c r="I53" s="8"/>
    </row>
    <row r="54" spans="1:9" ht="30" x14ac:dyDescent="0.25">
      <c r="A54" t="s">
        <v>159</v>
      </c>
      <c r="B54" s="23">
        <v>3</v>
      </c>
      <c r="C54" s="17" t="s">
        <v>153</v>
      </c>
      <c r="D54" s="24" t="s">
        <v>0</v>
      </c>
      <c r="E54" s="23">
        <v>5</v>
      </c>
      <c r="F54" s="18">
        <v>45938</v>
      </c>
    </row>
    <row r="55" spans="1:9" x14ac:dyDescent="0.25">
      <c r="A55" t="s">
        <v>159</v>
      </c>
      <c r="B55" s="31" t="s">
        <v>158</v>
      </c>
      <c r="C55" s="17" t="s">
        <v>29</v>
      </c>
      <c r="D55" s="24" t="s">
        <v>0</v>
      </c>
      <c r="E55" s="23" t="s">
        <v>18</v>
      </c>
      <c r="F55" s="18">
        <v>45938</v>
      </c>
    </row>
    <row r="56" spans="1:9" x14ac:dyDescent="0.25">
      <c r="A56" t="s">
        <v>159</v>
      </c>
      <c r="B56" s="23"/>
      <c r="C56" s="17" t="s">
        <v>157</v>
      </c>
      <c r="D56" s="24" t="s">
        <v>0</v>
      </c>
      <c r="E56" s="23"/>
      <c r="F56" s="18">
        <v>45938</v>
      </c>
    </row>
    <row r="57" spans="1:9" x14ac:dyDescent="0.25">
      <c r="A57" t="s">
        <v>159</v>
      </c>
      <c r="B57" s="23"/>
      <c r="C57" s="17" t="str">
        <f>C33</f>
        <v>genero hylodesmum</v>
      </c>
      <c r="D57">
        <v>200</v>
      </c>
      <c r="E57" s="23" t="s">
        <v>18</v>
      </c>
      <c r="F57" s="18">
        <v>45938</v>
      </c>
    </row>
    <row r="58" spans="1:9" x14ac:dyDescent="0.25">
      <c r="A58" s="8" t="s">
        <v>212</v>
      </c>
      <c r="B58" s="23"/>
      <c r="C58" s="28" t="s">
        <v>76</v>
      </c>
      <c r="D58" s="24" t="s">
        <v>0</v>
      </c>
      <c r="E58" s="23">
        <v>3</v>
      </c>
      <c r="F58" s="18">
        <v>45938</v>
      </c>
      <c r="G58" s="16">
        <v>0.51944444444444449</v>
      </c>
    </row>
    <row r="59" spans="1:9" ht="30" x14ac:dyDescent="0.25">
      <c r="A59" t="s">
        <v>212</v>
      </c>
      <c r="B59" s="23"/>
      <c r="C59" s="17" t="s">
        <v>153</v>
      </c>
      <c r="D59" s="24" t="s">
        <v>0</v>
      </c>
      <c r="E59" s="23" t="s">
        <v>18</v>
      </c>
      <c r="F59" s="18">
        <v>45938</v>
      </c>
    </row>
    <row r="60" spans="1:9" x14ac:dyDescent="0.25">
      <c r="A60" t="s">
        <v>212</v>
      </c>
      <c r="B60" s="23"/>
      <c r="C60" s="17" t="s">
        <v>21</v>
      </c>
      <c r="D60">
        <v>30</v>
      </c>
      <c r="E60" s="23">
        <v>5</v>
      </c>
      <c r="F60" s="18">
        <v>45938</v>
      </c>
    </row>
    <row r="61" spans="1:9" ht="45" x14ac:dyDescent="0.25">
      <c r="A61" t="s">
        <v>212</v>
      </c>
      <c r="B61" s="23"/>
      <c r="C61" s="30" t="s">
        <v>156</v>
      </c>
      <c r="D61" s="24" t="s">
        <v>0</v>
      </c>
      <c r="E61" s="29" t="s">
        <v>155</v>
      </c>
      <c r="F61" s="18">
        <v>45938</v>
      </c>
    </row>
    <row r="62" spans="1:9" x14ac:dyDescent="0.25">
      <c r="A62" s="8" t="s">
        <v>213</v>
      </c>
      <c r="B62" s="23"/>
      <c r="C62" s="28" t="s">
        <v>153</v>
      </c>
      <c r="D62" s="24" t="s">
        <v>0</v>
      </c>
      <c r="E62" s="23" t="s">
        <v>154</v>
      </c>
      <c r="F62" s="18">
        <v>45938</v>
      </c>
      <c r="G62" s="16">
        <v>0.52152777777777781</v>
      </c>
    </row>
    <row r="63" spans="1:9" x14ac:dyDescent="0.25">
      <c r="A63" t="s">
        <v>213</v>
      </c>
      <c r="B63" s="23"/>
      <c r="C63" s="6" t="str">
        <f>C57</f>
        <v>genero hylodesmum</v>
      </c>
      <c r="D63">
        <v>70</v>
      </c>
      <c r="E63" s="23">
        <v>4</v>
      </c>
      <c r="F63" s="18">
        <v>45938</v>
      </c>
    </row>
    <row r="64" spans="1:9" x14ac:dyDescent="0.25">
      <c r="A64" t="s">
        <v>213</v>
      </c>
      <c r="B64" s="23"/>
      <c r="C64" s="27" t="s">
        <v>148</v>
      </c>
      <c r="D64" s="24" t="s">
        <v>0</v>
      </c>
      <c r="E64" s="23">
        <v>7</v>
      </c>
      <c r="F64" s="18">
        <v>45938</v>
      </c>
    </row>
    <row r="65" spans="1:10" x14ac:dyDescent="0.25">
      <c r="A65" t="s">
        <v>213</v>
      </c>
      <c r="B65" s="23"/>
      <c r="C65" s="28" t="s">
        <v>29</v>
      </c>
      <c r="D65" s="24" t="s">
        <v>0</v>
      </c>
      <c r="E65" s="23">
        <v>3</v>
      </c>
      <c r="F65" s="18">
        <v>45938</v>
      </c>
    </row>
    <row r="66" spans="1:10" x14ac:dyDescent="0.25">
      <c r="A66" s="8" t="s">
        <v>214</v>
      </c>
      <c r="B66" s="23"/>
      <c r="C66" s="28" t="s">
        <v>153</v>
      </c>
      <c r="D66" s="24" t="s">
        <v>0</v>
      </c>
      <c r="E66" s="23"/>
      <c r="F66" s="18">
        <v>45938</v>
      </c>
      <c r="G66" s="16">
        <v>0.5229166666666667</v>
      </c>
    </row>
    <row r="67" spans="1:10" x14ac:dyDescent="0.25">
      <c r="A67" t="s">
        <v>214</v>
      </c>
      <c r="B67" s="23"/>
      <c r="C67" s="17" t="s">
        <v>152</v>
      </c>
      <c r="D67" s="23" t="s">
        <v>151</v>
      </c>
      <c r="E67" s="23">
        <v>1</v>
      </c>
      <c r="F67" s="18">
        <v>45938</v>
      </c>
    </row>
    <row r="68" spans="1:10" x14ac:dyDescent="0.25">
      <c r="A68" t="s">
        <v>214</v>
      </c>
      <c r="B68" s="23"/>
      <c r="C68" s="28" t="s">
        <v>150</v>
      </c>
      <c r="D68">
        <v>20</v>
      </c>
      <c r="E68" s="23">
        <v>2</v>
      </c>
      <c r="F68" s="18">
        <v>45938</v>
      </c>
    </row>
    <row r="69" spans="1:10" x14ac:dyDescent="0.25">
      <c r="A69" t="s">
        <v>214</v>
      </c>
      <c r="B69" s="23"/>
      <c r="C69" s="28" t="s">
        <v>149</v>
      </c>
      <c r="D69">
        <v>25</v>
      </c>
      <c r="E69" s="23">
        <v>2</v>
      </c>
      <c r="F69" s="18">
        <v>45938</v>
      </c>
    </row>
    <row r="70" spans="1:10" ht="30.75" x14ac:dyDescent="0.25">
      <c r="A70" t="s">
        <v>214</v>
      </c>
      <c r="B70" s="23"/>
      <c r="C70" s="19" t="s">
        <v>50</v>
      </c>
      <c r="D70">
        <v>1</v>
      </c>
      <c r="E70" s="23">
        <v>1</v>
      </c>
      <c r="F70" s="18">
        <v>45938</v>
      </c>
      <c r="G70" s="12"/>
    </row>
    <row r="71" spans="1:10" ht="30.75" x14ac:dyDescent="0.25">
      <c r="A71" s="2" t="s">
        <v>214</v>
      </c>
      <c r="B71" s="21"/>
      <c r="C71" s="27" t="s">
        <v>148</v>
      </c>
      <c r="D71" s="26" t="s">
        <v>0</v>
      </c>
      <c r="E71" s="21">
        <v>3</v>
      </c>
      <c r="F71" s="20">
        <v>45938</v>
      </c>
      <c r="G71" s="12"/>
      <c r="H71" s="2"/>
      <c r="I71" s="2"/>
      <c r="J71" s="2"/>
    </row>
    <row r="72" spans="1:10" ht="60" x14ac:dyDescent="0.25">
      <c r="A72" s="8" t="s">
        <v>143</v>
      </c>
      <c r="B72" t="s">
        <v>24</v>
      </c>
      <c r="C72" s="13" t="s">
        <v>147</v>
      </c>
      <c r="D72" s="6" t="s">
        <v>0</v>
      </c>
      <c r="E72" t="s">
        <v>18</v>
      </c>
      <c r="F72" s="18">
        <v>45952</v>
      </c>
      <c r="G72" s="16">
        <v>0.43611111111111112</v>
      </c>
      <c r="I72" s="8"/>
    </row>
    <row r="73" spans="1:10" x14ac:dyDescent="0.25">
      <c r="A73" t="s">
        <v>143</v>
      </c>
      <c r="B73" t="s">
        <v>146</v>
      </c>
      <c r="C73" s="7" t="s">
        <v>105</v>
      </c>
      <c r="D73" s="6" t="s">
        <v>145</v>
      </c>
      <c r="E73">
        <v>5</v>
      </c>
      <c r="F73" s="18">
        <v>45952</v>
      </c>
    </row>
    <row r="74" spans="1:10" x14ac:dyDescent="0.25">
      <c r="A74" t="s">
        <v>143</v>
      </c>
      <c r="C74" s="7" t="s">
        <v>2</v>
      </c>
      <c r="D74" s="6" t="s">
        <v>0</v>
      </c>
      <c r="E74" t="s">
        <v>18</v>
      </c>
      <c r="F74" s="18">
        <v>45952</v>
      </c>
    </row>
    <row r="75" spans="1:10" ht="30.75" x14ac:dyDescent="0.25">
      <c r="A75" t="s">
        <v>143</v>
      </c>
      <c r="B75">
        <v>6</v>
      </c>
      <c r="C75" s="7" t="s">
        <v>144</v>
      </c>
      <c r="D75" s="6" t="s">
        <v>0</v>
      </c>
      <c r="E75">
        <v>6</v>
      </c>
      <c r="F75" s="18">
        <v>45952</v>
      </c>
      <c r="G75" s="25"/>
    </row>
    <row r="76" spans="1:10" ht="30" x14ac:dyDescent="0.25">
      <c r="A76" t="s">
        <v>143</v>
      </c>
      <c r="B76" t="s">
        <v>118</v>
      </c>
      <c r="C76" s="7" t="s">
        <v>46</v>
      </c>
      <c r="D76" s="6">
        <v>4</v>
      </c>
      <c r="E76">
        <v>2</v>
      </c>
      <c r="F76" s="18">
        <v>45952</v>
      </c>
    </row>
    <row r="77" spans="1:10" x14ac:dyDescent="0.25">
      <c r="A77" s="8" t="s">
        <v>141</v>
      </c>
      <c r="C77" s="7" t="s">
        <v>2</v>
      </c>
      <c r="D77" s="6" t="s">
        <v>0</v>
      </c>
      <c r="E77" t="s">
        <v>7</v>
      </c>
      <c r="F77" s="18">
        <v>45952</v>
      </c>
      <c r="G77" s="16">
        <v>0.44444444444444442</v>
      </c>
    </row>
    <row r="78" spans="1:10" x14ac:dyDescent="0.25">
      <c r="A78" t="s">
        <v>141</v>
      </c>
      <c r="C78" s="7" t="str">
        <f>C73</f>
        <v>genero tagete</v>
      </c>
      <c r="D78" s="6">
        <v>5</v>
      </c>
      <c r="E78" t="s">
        <v>142</v>
      </c>
      <c r="F78" s="18">
        <v>45952</v>
      </c>
    </row>
    <row r="79" spans="1:10" ht="45" x14ac:dyDescent="0.25">
      <c r="A79" t="s">
        <v>141</v>
      </c>
      <c r="B79">
        <v>9</v>
      </c>
      <c r="C79" s="7" t="s">
        <v>14</v>
      </c>
      <c r="D79" s="6">
        <v>8</v>
      </c>
      <c r="E79" t="s">
        <v>18</v>
      </c>
      <c r="F79" s="18">
        <v>45952</v>
      </c>
    </row>
    <row r="80" spans="1:10" ht="30" x14ac:dyDescent="0.25">
      <c r="A80" t="s">
        <v>141</v>
      </c>
      <c r="B80">
        <v>10</v>
      </c>
      <c r="C80" s="7" t="str">
        <f>C75</f>
        <v>chamaecrista rotundifolia</v>
      </c>
      <c r="D80" s="6" t="s">
        <v>0</v>
      </c>
      <c r="E80" t="s">
        <v>18</v>
      </c>
      <c r="F80" s="18">
        <v>45952</v>
      </c>
    </row>
    <row r="81" spans="1:11" ht="60" x14ac:dyDescent="0.25">
      <c r="A81" t="s">
        <v>141</v>
      </c>
      <c r="C81" s="1" t="str">
        <f>C72</f>
        <v>hojas medi lanceoladas con picos medio peluditas como con picos verdes</v>
      </c>
      <c r="D81" s="6" t="s">
        <v>0</v>
      </c>
      <c r="E81" t="s">
        <v>18</v>
      </c>
      <c r="F81" s="18">
        <v>45952</v>
      </c>
    </row>
    <row r="82" spans="1:11" x14ac:dyDescent="0.25">
      <c r="A82" s="8" t="s">
        <v>139</v>
      </c>
      <c r="B82" t="s">
        <v>140</v>
      </c>
      <c r="C82" s="1" t="s">
        <v>29</v>
      </c>
      <c r="D82" s="6" t="s">
        <v>0</v>
      </c>
      <c r="E82">
        <v>2</v>
      </c>
      <c r="F82" s="18">
        <v>45952</v>
      </c>
      <c r="G82" s="16">
        <v>0.44861111111111113</v>
      </c>
    </row>
    <row r="83" spans="1:11" x14ac:dyDescent="0.25">
      <c r="A83" t="s">
        <v>139</v>
      </c>
      <c r="C83" s="7" t="s">
        <v>2</v>
      </c>
      <c r="D83" s="6" t="s">
        <v>0</v>
      </c>
      <c r="E83" t="s">
        <v>18</v>
      </c>
      <c r="F83" s="18">
        <v>45952</v>
      </c>
    </row>
    <row r="84" spans="1:11" x14ac:dyDescent="0.25">
      <c r="A84" s="8" t="s">
        <v>138</v>
      </c>
      <c r="C84" s="7" t="s">
        <v>2</v>
      </c>
      <c r="D84" s="6" t="s">
        <v>0</v>
      </c>
      <c r="E84" t="s">
        <v>137</v>
      </c>
      <c r="F84" s="18">
        <v>45952</v>
      </c>
      <c r="G84" s="16">
        <v>0.45208333333333334</v>
      </c>
    </row>
    <row r="85" spans="1:11" x14ac:dyDescent="0.25">
      <c r="A85" t="s">
        <v>138</v>
      </c>
      <c r="C85" s="7" t="str">
        <f>C73</f>
        <v>genero tagete</v>
      </c>
      <c r="D85" s="6">
        <v>70</v>
      </c>
      <c r="E85" t="s">
        <v>18</v>
      </c>
      <c r="F85" s="18">
        <v>45952</v>
      </c>
    </row>
    <row r="86" spans="1:11" ht="45" x14ac:dyDescent="0.25">
      <c r="A86" t="s">
        <v>138</v>
      </c>
      <c r="C86" s="7" t="str">
        <f>C79</f>
        <v>Zacatón Fino (Muhlenbergia stricta)</v>
      </c>
      <c r="D86" s="6">
        <v>8</v>
      </c>
      <c r="E86" t="s">
        <v>18</v>
      </c>
      <c r="F86" s="18">
        <v>45952</v>
      </c>
    </row>
    <row r="87" spans="1:11" ht="30" x14ac:dyDescent="0.25">
      <c r="A87" t="s">
        <v>138</v>
      </c>
      <c r="B87" s="2"/>
      <c r="C87" s="5" t="str">
        <f>C75</f>
        <v>chamaecrista rotundifolia</v>
      </c>
      <c r="D87" s="4" t="s">
        <v>0</v>
      </c>
      <c r="E87" s="2">
        <v>15</v>
      </c>
      <c r="F87" s="20">
        <v>45952</v>
      </c>
      <c r="G87" s="2"/>
    </row>
    <row r="88" spans="1:11" ht="30" x14ac:dyDescent="0.25">
      <c r="A88" s="8" t="s">
        <v>135</v>
      </c>
      <c r="C88" s="7" t="str">
        <f>C76</f>
        <v>cinia naranja (zinnia angustiflora)</v>
      </c>
      <c r="D88" s="6">
        <v>35</v>
      </c>
      <c r="E88" t="s">
        <v>7</v>
      </c>
      <c r="F88" s="18">
        <v>45952</v>
      </c>
      <c r="G88" s="16">
        <v>0.4597222222222222</v>
      </c>
      <c r="I88" s="8"/>
      <c r="J88" s="23"/>
      <c r="K88" s="24"/>
    </row>
    <row r="89" spans="1:11" x14ac:dyDescent="0.25">
      <c r="A89" t="s">
        <v>135</v>
      </c>
      <c r="C89" s="7" t="s">
        <v>2</v>
      </c>
      <c r="D89" s="6" t="s">
        <v>0</v>
      </c>
      <c r="E89" t="s">
        <v>137</v>
      </c>
      <c r="F89" s="18">
        <v>45952</v>
      </c>
      <c r="J89" s="23"/>
      <c r="K89" s="24"/>
    </row>
    <row r="90" spans="1:11" ht="30" x14ac:dyDescent="0.25">
      <c r="A90" t="s">
        <v>135</v>
      </c>
      <c r="C90" s="7" t="str">
        <f>C75</f>
        <v>chamaecrista rotundifolia</v>
      </c>
      <c r="D90" s="6" t="s">
        <v>0</v>
      </c>
      <c r="E90">
        <v>10</v>
      </c>
      <c r="F90" s="18">
        <v>45952</v>
      </c>
      <c r="J90" s="23"/>
      <c r="K90" s="24"/>
    </row>
    <row r="91" spans="1:11" x14ac:dyDescent="0.25">
      <c r="A91" t="s">
        <v>135</v>
      </c>
      <c r="B91" t="s">
        <v>136</v>
      </c>
      <c r="C91" s="7" t="s">
        <v>89</v>
      </c>
      <c r="D91" s="6">
        <v>10</v>
      </c>
      <c r="E91">
        <v>3</v>
      </c>
      <c r="F91" s="18">
        <v>45952</v>
      </c>
    </row>
    <row r="92" spans="1:11" ht="60" x14ac:dyDescent="0.25">
      <c r="A92" t="s">
        <v>135</v>
      </c>
      <c r="C92" s="1" t="str">
        <f>C72</f>
        <v>hojas medi lanceoladas con picos medio peluditas como con picos verdes</v>
      </c>
      <c r="D92" s="6" t="s">
        <v>0</v>
      </c>
      <c r="E92">
        <v>5</v>
      </c>
      <c r="F92" s="18">
        <v>45952</v>
      </c>
    </row>
    <row r="93" spans="1:11" ht="30" x14ac:dyDescent="0.25">
      <c r="A93" t="s">
        <v>135</v>
      </c>
      <c r="B93" t="s">
        <v>134</v>
      </c>
      <c r="C93" s="1" t="s">
        <v>133</v>
      </c>
      <c r="D93" s="6" t="s">
        <v>0</v>
      </c>
      <c r="F93" s="18">
        <v>45952</v>
      </c>
    </row>
    <row r="94" spans="1:11" ht="30" x14ac:dyDescent="0.25">
      <c r="A94" s="8" t="s">
        <v>132</v>
      </c>
      <c r="C94" s="7" t="str">
        <f>C76</f>
        <v>cinia naranja (zinnia angustiflora)</v>
      </c>
      <c r="D94" s="6">
        <v>50</v>
      </c>
      <c r="E94" t="s">
        <v>18</v>
      </c>
      <c r="F94" s="18">
        <v>45952</v>
      </c>
      <c r="G94" s="16">
        <v>0.46597222222222223</v>
      </c>
    </row>
    <row r="95" spans="1:11" x14ac:dyDescent="0.25">
      <c r="A95" t="s">
        <v>132</v>
      </c>
      <c r="C95" s="7" t="s">
        <v>2</v>
      </c>
      <c r="D95" s="6" t="s">
        <v>0</v>
      </c>
      <c r="E95" t="s">
        <v>9</v>
      </c>
      <c r="F95" s="18">
        <v>45952</v>
      </c>
    </row>
    <row r="96" spans="1:11" ht="45" x14ac:dyDescent="0.25">
      <c r="A96" t="s">
        <v>132</v>
      </c>
      <c r="B96" t="s">
        <v>131</v>
      </c>
      <c r="C96" s="7" t="s">
        <v>14</v>
      </c>
      <c r="D96" s="6" t="s">
        <v>0</v>
      </c>
      <c r="E96" t="s">
        <v>7</v>
      </c>
      <c r="F96" s="18">
        <v>45952</v>
      </c>
    </row>
    <row r="97" spans="1:9" ht="30" x14ac:dyDescent="0.25">
      <c r="A97" s="8" t="s">
        <v>130</v>
      </c>
      <c r="C97" s="7" t="str">
        <f>C76</f>
        <v>cinia naranja (zinnia angustiflora)</v>
      </c>
      <c r="D97" s="6">
        <v>66</v>
      </c>
      <c r="E97" t="s">
        <v>18</v>
      </c>
      <c r="F97" s="18">
        <v>45952</v>
      </c>
      <c r="G97" s="16">
        <v>0.47013888888888888</v>
      </c>
    </row>
    <row r="98" spans="1:9" x14ac:dyDescent="0.25">
      <c r="A98" t="s">
        <v>130</v>
      </c>
      <c r="C98" s="7" t="s">
        <v>2</v>
      </c>
      <c r="D98" s="6" t="s">
        <v>0</v>
      </c>
      <c r="E98" t="s">
        <v>9</v>
      </c>
      <c r="F98" s="18">
        <v>45952</v>
      </c>
    </row>
    <row r="99" spans="1:9" x14ac:dyDescent="0.25">
      <c r="A99" t="s">
        <v>130</v>
      </c>
      <c r="B99" t="s">
        <v>129</v>
      </c>
      <c r="C99" s="1" t="s">
        <v>128</v>
      </c>
      <c r="D99" s="6">
        <v>4</v>
      </c>
      <c r="E99">
        <v>2</v>
      </c>
      <c r="F99" s="18">
        <v>45952</v>
      </c>
    </row>
    <row r="100" spans="1:9" ht="30" x14ac:dyDescent="0.25">
      <c r="A100" s="8" t="s">
        <v>127</v>
      </c>
      <c r="C100" s="7" t="str">
        <f>C76</f>
        <v>cinia naranja (zinnia angustiflora)</v>
      </c>
      <c r="D100" s="6">
        <v>30</v>
      </c>
      <c r="E100" t="s">
        <v>18</v>
      </c>
      <c r="F100" s="18">
        <v>45952</v>
      </c>
      <c r="G100" s="16">
        <v>0.47222222222222221</v>
      </c>
    </row>
    <row r="101" spans="1:9" x14ac:dyDescent="0.25">
      <c r="A101" t="s">
        <v>127</v>
      </c>
      <c r="C101" s="7" t="s">
        <v>2</v>
      </c>
      <c r="D101" s="6" t="s">
        <v>0</v>
      </c>
      <c r="E101" t="s">
        <v>9</v>
      </c>
      <c r="F101" s="18">
        <v>45952</v>
      </c>
    </row>
    <row r="102" spans="1:9" ht="45" x14ac:dyDescent="0.25">
      <c r="A102" t="s">
        <v>127</v>
      </c>
      <c r="B102" s="2"/>
      <c r="C102" s="5" t="str">
        <f>C96</f>
        <v>Zacatón Fino (Muhlenbergia stricta)</v>
      </c>
      <c r="D102" s="4" t="s">
        <v>0</v>
      </c>
      <c r="E102" s="2" t="s">
        <v>18</v>
      </c>
      <c r="F102" s="20">
        <v>45952</v>
      </c>
      <c r="G102" s="2"/>
    </row>
    <row r="103" spans="1:9" ht="45" x14ac:dyDescent="0.25">
      <c r="A103" s="8" t="s">
        <v>126</v>
      </c>
      <c r="C103" s="7" t="str">
        <f>C79</f>
        <v>Zacatón Fino (Muhlenbergia stricta)</v>
      </c>
      <c r="D103">
        <v>15</v>
      </c>
      <c r="E103">
        <v>4</v>
      </c>
      <c r="F103" s="18">
        <v>45952</v>
      </c>
      <c r="G103" s="16">
        <v>0.48472222222222222</v>
      </c>
      <c r="I103" s="8"/>
    </row>
    <row r="104" spans="1:9" x14ac:dyDescent="0.25">
      <c r="A104" t="s">
        <v>126</v>
      </c>
      <c r="C104" s="7" t="str">
        <f>C73</f>
        <v>genero tagete</v>
      </c>
      <c r="D104" s="6">
        <v>3</v>
      </c>
      <c r="E104">
        <v>3</v>
      </c>
      <c r="F104" s="18">
        <v>45952</v>
      </c>
    </row>
    <row r="105" spans="1:9" ht="30" x14ac:dyDescent="0.25">
      <c r="A105" s="8" t="s">
        <v>124</v>
      </c>
      <c r="C105" s="7" t="str">
        <f>C76</f>
        <v>cinia naranja (zinnia angustiflora)</v>
      </c>
      <c r="D105" s="6"/>
      <c r="E105">
        <v>20</v>
      </c>
      <c r="F105" s="18">
        <v>45952</v>
      </c>
      <c r="G105" s="16">
        <v>0.48680555555555555</v>
      </c>
    </row>
    <row r="106" spans="1:9" x14ac:dyDescent="0.25">
      <c r="A106" t="s">
        <v>124</v>
      </c>
      <c r="C106" s="7" t="s">
        <v>2</v>
      </c>
      <c r="D106" s="6"/>
      <c r="E106" t="s">
        <v>125</v>
      </c>
      <c r="F106" s="18">
        <v>45952</v>
      </c>
    </row>
    <row r="107" spans="1:9" x14ac:dyDescent="0.25">
      <c r="A107" t="s">
        <v>124</v>
      </c>
      <c r="C107" s="7" t="str">
        <f>C73</f>
        <v>genero tagete</v>
      </c>
      <c r="D107" s="6">
        <v>10</v>
      </c>
      <c r="E107">
        <v>15</v>
      </c>
      <c r="F107" s="18">
        <v>45952</v>
      </c>
    </row>
    <row r="108" spans="1:9" x14ac:dyDescent="0.25">
      <c r="A108" s="8" t="s">
        <v>121</v>
      </c>
      <c r="C108" s="7" t="s">
        <v>2</v>
      </c>
      <c r="D108" s="6"/>
      <c r="E108" t="s">
        <v>7</v>
      </c>
      <c r="F108" s="18">
        <v>45952</v>
      </c>
      <c r="G108" s="16">
        <v>0.48888888888888887</v>
      </c>
    </row>
    <row r="109" spans="1:9" ht="60" x14ac:dyDescent="0.25">
      <c r="A109" t="s">
        <v>121</v>
      </c>
      <c r="B109" t="s">
        <v>123</v>
      </c>
      <c r="C109" s="13" t="s">
        <v>122</v>
      </c>
      <c r="D109" s="6"/>
      <c r="E109">
        <v>20</v>
      </c>
      <c r="F109" s="18">
        <v>45952</v>
      </c>
    </row>
    <row r="110" spans="1:9" x14ac:dyDescent="0.25">
      <c r="A110" t="s">
        <v>121</v>
      </c>
      <c r="B110">
        <v>6</v>
      </c>
      <c r="C110" s="7" t="s">
        <v>120</v>
      </c>
      <c r="D110" s="6"/>
      <c r="E110">
        <v>3</v>
      </c>
      <c r="F110" s="18">
        <v>45952</v>
      </c>
    </row>
    <row r="111" spans="1:9" ht="45" x14ac:dyDescent="0.25">
      <c r="A111" s="8" t="s">
        <v>116</v>
      </c>
      <c r="C111" s="7" t="str">
        <f>C79</f>
        <v>Zacatón Fino (Muhlenbergia stricta)</v>
      </c>
      <c r="D111" s="6">
        <v>15</v>
      </c>
      <c r="E111" t="s">
        <v>18</v>
      </c>
      <c r="F111" s="18">
        <v>45952</v>
      </c>
      <c r="G111" t="s">
        <v>119</v>
      </c>
    </row>
    <row r="112" spans="1:9" x14ac:dyDescent="0.25">
      <c r="A112" t="s">
        <v>116</v>
      </c>
      <c r="C112" s="7" t="str">
        <f>C73</f>
        <v>genero tagete</v>
      </c>
      <c r="D112" s="6">
        <v>6</v>
      </c>
      <c r="E112">
        <v>15</v>
      </c>
      <c r="F112" s="18">
        <v>45952</v>
      </c>
    </row>
    <row r="113" spans="1:9" x14ac:dyDescent="0.25">
      <c r="A113" t="s">
        <v>116</v>
      </c>
      <c r="C113" s="7" t="s">
        <v>2</v>
      </c>
      <c r="D113" s="6"/>
      <c r="E113" t="s">
        <v>7</v>
      </c>
      <c r="F113" s="18">
        <v>45952</v>
      </c>
    </row>
    <row r="114" spans="1:9" ht="30" x14ac:dyDescent="0.25">
      <c r="A114" t="s">
        <v>116</v>
      </c>
      <c r="B114" t="s">
        <v>118</v>
      </c>
      <c r="C114" s="7" t="s">
        <v>117</v>
      </c>
      <c r="D114" s="6"/>
      <c r="E114">
        <v>25</v>
      </c>
      <c r="F114" s="18">
        <v>45952</v>
      </c>
    </row>
    <row r="115" spans="1:9" ht="60" x14ac:dyDescent="0.25">
      <c r="A115" t="s">
        <v>116</v>
      </c>
      <c r="B115" s="2">
        <v>9</v>
      </c>
      <c r="C115" s="14" t="str">
        <f>C109</f>
        <v xml:space="preserve">es muy chiquito y tiene hojas medio lanceoladas con picos aterciopelados </v>
      </c>
      <c r="D115" s="4"/>
      <c r="E115" s="2">
        <v>2</v>
      </c>
      <c r="F115" s="20">
        <v>45952</v>
      </c>
      <c r="G115" s="2"/>
    </row>
    <row r="116" spans="1:9" x14ac:dyDescent="0.25">
      <c r="A116" s="8" t="s">
        <v>114</v>
      </c>
      <c r="B116">
        <v>1</v>
      </c>
      <c r="C116" s="7" t="s">
        <v>112</v>
      </c>
      <c r="D116" s="6"/>
      <c r="E116" t="s">
        <v>7</v>
      </c>
      <c r="F116" s="18">
        <v>45952</v>
      </c>
      <c r="G116" s="16">
        <v>0.5</v>
      </c>
      <c r="I116" s="8"/>
    </row>
    <row r="117" spans="1:9" x14ac:dyDescent="0.25">
      <c r="A117" t="s">
        <v>114</v>
      </c>
      <c r="C117" s="7" t="str">
        <f>C73</f>
        <v>genero tagete</v>
      </c>
      <c r="D117" s="6">
        <v>4</v>
      </c>
      <c r="E117">
        <v>30</v>
      </c>
      <c r="F117" s="18">
        <v>45952</v>
      </c>
    </row>
    <row r="118" spans="1:9" ht="45" x14ac:dyDescent="0.25">
      <c r="A118" t="s">
        <v>114</v>
      </c>
      <c r="C118" s="7" t="str">
        <f>C79</f>
        <v>Zacatón Fino (Muhlenbergia stricta)</v>
      </c>
      <c r="D118" s="6">
        <v>7</v>
      </c>
      <c r="E118">
        <v>4</v>
      </c>
      <c r="F118" s="18">
        <v>45952</v>
      </c>
    </row>
    <row r="119" spans="1:9" ht="30" x14ac:dyDescent="0.25">
      <c r="A119" t="s">
        <v>114</v>
      </c>
      <c r="B119" t="s">
        <v>115</v>
      </c>
      <c r="C119" s="7" t="s">
        <v>46</v>
      </c>
      <c r="D119" s="6">
        <v>2</v>
      </c>
      <c r="F119" s="18">
        <v>45952</v>
      </c>
    </row>
    <row r="120" spans="1:9" x14ac:dyDescent="0.25">
      <c r="A120" t="s">
        <v>114</v>
      </c>
      <c r="C120" s="7" t="s">
        <v>2</v>
      </c>
      <c r="D120" s="6"/>
      <c r="E120">
        <v>3</v>
      </c>
      <c r="F120" s="18">
        <v>45952</v>
      </c>
    </row>
    <row r="121" spans="1:9" x14ac:dyDescent="0.25">
      <c r="A121" s="8" t="s">
        <v>113</v>
      </c>
      <c r="C121" s="7" t="s">
        <v>112</v>
      </c>
      <c r="D121" s="6"/>
      <c r="E121" t="s">
        <v>9</v>
      </c>
      <c r="F121" s="18">
        <v>45952</v>
      </c>
      <c r="G121" s="16">
        <v>0.50277777777777777</v>
      </c>
    </row>
    <row r="122" spans="1:9" ht="45" x14ac:dyDescent="0.25">
      <c r="A122" t="s">
        <v>113</v>
      </c>
      <c r="C122" s="7" t="str">
        <f>C79</f>
        <v>Zacatón Fino (Muhlenbergia stricta)</v>
      </c>
      <c r="D122" s="6">
        <v>6</v>
      </c>
      <c r="E122">
        <v>2</v>
      </c>
      <c r="F122" s="18">
        <v>45952</v>
      </c>
    </row>
    <row r="123" spans="1:9" ht="30" x14ac:dyDescent="0.25">
      <c r="A123" t="s">
        <v>113</v>
      </c>
      <c r="B123">
        <v>5</v>
      </c>
      <c r="C123" s="7" t="str">
        <f>C114</f>
        <v>salvia consuelda (salvia prunelloides)</v>
      </c>
      <c r="D123" s="6">
        <v>1</v>
      </c>
      <c r="E123">
        <v>4</v>
      </c>
      <c r="F123" s="18">
        <v>45952</v>
      </c>
    </row>
    <row r="124" spans="1:9" x14ac:dyDescent="0.25">
      <c r="A124" s="8" t="s">
        <v>108</v>
      </c>
      <c r="C124" s="7" t="s">
        <v>112</v>
      </c>
      <c r="D124" s="6"/>
      <c r="E124" t="s">
        <v>111</v>
      </c>
      <c r="F124" s="18">
        <v>45952</v>
      </c>
      <c r="G124" s="16">
        <v>0.50486111111111109</v>
      </c>
    </row>
    <row r="125" spans="1:9" x14ac:dyDescent="0.25">
      <c r="A125" t="s">
        <v>108</v>
      </c>
      <c r="C125" s="7" t="s">
        <v>2</v>
      </c>
      <c r="D125" s="6"/>
      <c r="E125" t="s">
        <v>111</v>
      </c>
      <c r="F125" s="18">
        <v>45952</v>
      </c>
    </row>
    <row r="126" spans="1:9" x14ac:dyDescent="0.25">
      <c r="A126" t="s">
        <v>108</v>
      </c>
      <c r="C126" s="7" t="str">
        <f>C73</f>
        <v>genero tagete</v>
      </c>
      <c r="D126" s="6">
        <v>3</v>
      </c>
      <c r="E126">
        <v>25</v>
      </c>
      <c r="F126" s="18">
        <v>45952</v>
      </c>
    </row>
    <row r="127" spans="1:9" ht="30" x14ac:dyDescent="0.25">
      <c r="A127" t="s">
        <v>108</v>
      </c>
      <c r="C127" s="7" t="str">
        <f>C94</f>
        <v>cinia naranja (zinnia angustiflora)</v>
      </c>
      <c r="D127" s="6">
        <v>3</v>
      </c>
      <c r="E127">
        <v>2</v>
      </c>
      <c r="F127" s="18">
        <v>45952</v>
      </c>
    </row>
    <row r="128" spans="1:9" ht="30" x14ac:dyDescent="0.25">
      <c r="A128" t="s">
        <v>108</v>
      </c>
      <c r="B128" t="s">
        <v>110</v>
      </c>
      <c r="C128" s="13" t="s">
        <v>109</v>
      </c>
      <c r="D128" s="6"/>
      <c r="E128">
        <v>1</v>
      </c>
      <c r="F128" s="18">
        <v>45952</v>
      </c>
    </row>
    <row r="129" spans="1:9" ht="30" x14ac:dyDescent="0.25">
      <c r="A129" t="s">
        <v>108</v>
      </c>
      <c r="B129" s="23"/>
      <c r="C129" s="17" t="str">
        <f>C114</f>
        <v>salvia consuelda (salvia prunelloides)</v>
      </c>
      <c r="D129" s="6"/>
      <c r="E129" s="23">
        <v>3</v>
      </c>
      <c r="F129" s="18">
        <v>45952</v>
      </c>
    </row>
    <row r="130" spans="1:9" ht="30" x14ac:dyDescent="0.25">
      <c r="A130" s="8" t="s">
        <v>107</v>
      </c>
      <c r="B130" s="23"/>
      <c r="C130" s="17" t="str">
        <f>C119</f>
        <v>cinia naranja (zinnia angustiflora)</v>
      </c>
      <c r="D130" s="6">
        <v>4</v>
      </c>
      <c r="E130" s="23">
        <v>1</v>
      </c>
      <c r="F130" s="18">
        <v>45952</v>
      </c>
      <c r="G130" s="16">
        <v>0.5083333333333333</v>
      </c>
    </row>
    <row r="131" spans="1:9" x14ac:dyDescent="0.25">
      <c r="A131" t="s">
        <v>107</v>
      </c>
      <c r="B131" s="23"/>
      <c r="C131" s="17" t="str">
        <f>C73</f>
        <v>genero tagete</v>
      </c>
      <c r="D131" s="6">
        <v>5</v>
      </c>
      <c r="E131" s="23">
        <v>20</v>
      </c>
      <c r="F131" s="18">
        <v>45952</v>
      </c>
    </row>
    <row r="132" spans="1:9" x14ac:dyDescent="0.25">
      <c r="A132" t="s">
        <v>107</v>
      </c>
      <c r="B132" s="21"/>
      <c r="C132" s="22" t="str">
        <f>C91</f>
        <v>diastatea tenera</v>
      </c>
      <c r="D132" s="4">
        <v>2</v>
      </c>
      <c r="E132" s="21">
        <v>1</v>
      </c>
      <c r="F132" s="20">
        <v>45952</v>
      </c>
      <c r="G132" s="2"/>
      <c r="H132" s="2"/>
      <c r="I132" s="2"/>
    </row>
    <row r="133" spans="1:9" x14ac:dyDescent="0.25">
      <c r="A133" s="8" t="s">
        <v>104</v>
      </c>
      <c r="B133">
        <v>1</v>
      </c>
      <c r="C133" s="8" t="s">
        <v>21</v>
      </c>
      <c r="D133">
        <v>60</v>
      </c>
      <c r="E133" t="s">
        <v>18</v>
      </c>
      <c r="F133" s="18">
        <v>45971</v>
      </c>
      <c r="G133" s="16">
        <v>0.41805555555555557</v>
      </c>
      <c r="I133" s="8"/>
    </row>
    <row r="134" spans="1:9" x14ac:dyDescent="0.25">
      <c r="A134" t="s">
        <v>104</v>
      </c>
      <c r="B134" t="s">
        <v>106</v>
      </c>
      <c r="C134" s="7" t="s">
        <v>105</v>
      </c>
      <c r="D134">
        <v>25</v>
      </c>
      <c r="E134" t="s">
        <v>9</v>
      </c>
      <c r="F134" s="18">
        <v>45971</v>
      </c>
    </row>
    <row r="135" spans="1:9" ht="45" x14ac:dyDescent="0.25">
      <c r="A135" t="s">
        <v>104</v>
      </c>
      <c r="B135" t="s">
        <v>22</v>
      </c>
      <c r="C135" s="7" t="s">
        <v>14</v>
      </c>
      <c r="D135">
        <v>80</v>
      </c>
      <c r="E135" t="s">
        <v>7</v>
      </c>
      <c r="F135" s="18">
        <v>45971</v>
      </c>
    </row>
    <row r="136" spans="1:9" ht="30.75" x14ac:dyDescent="0.25">
      <c r="A136" t="s">
        <v>104</v>
      </c>
      <c r="B136" t="s">
        <v>17</v>
      </c>
      <c r="C136" s="7" t="s">
        <v>53</v>
      </c>
      <c r="D136">
        <v>17</v>
      </c>
      <c r="E136">
        <v>6</v>
      </c>
      <c r="F136" s="18">
        <v>45971</v>
      </c>
      <c r="H136" s="12"/>
    </row>
    <row r="137" spans="1:9" x14ac:dyDescent="0.25">
      <c r="A137" t="s">
        <v>104</v>
      </c>
      <c r="B137" t="s">
        <v>13</v>
      </c>
      <c r="C137" s="1" t="s">
        <v>103</v>
      </c>
      <c r="D137" s="6" t="s">
        <v>0</v>
      </c>
      <c r="E137">
        <v>7</v>
      </c>
      <c r="F137" s="18">
        <v>45971</v>
      </c>
    </row>
    <row r="138" spans="1:9" ht="45" x14ac:dyDescent="0.25">
      <c r="A138" s="8" t="s">
        <v>100</v>
      </c>
      <c r="C138" s="7" t="str">
        <f>C135</f>
        <v>Zacatón Fino (Muhlenbergia stricta)</v>
      </c>
      <c r="D138">
        <v>20</v>
      </c>
      <c r="E138">
        <v>7</v>
      </c>
      <c r="F138" s="18">
        <v>45971</v>
      </c>
      <c r="G138" s="16">
        <v>0.42569444444444443</v>
      </c>
    </row>
    <row r="139" spans="1:9" x14ac:dyDescent="0.25">
      <c r="A139" t="s">
        <v>100</v>
      </c>
      <c r="C139" s="7" t="str">
        <f>C134</f>
        <v>genero tagete</v>
      </c>
      <c r="D139">
        <v>4</v>
      </c>
      <c r="E139">
        <v>3</v>
      </c>
      <c r="F139" s="18">
        <v>45971</v>
      </c>
    </row>
    <row r="140" spans="1:9" x14ac:dyDescent="0.25">
      <c r="A140" t="s">
        <v>100</v>
      </c>
      <c r="B140">
        <v>10</v>
      </c>
      <c r="C140" s="7" t="s">
        <v>27</v>
      </c>
      <c r="D140">
        <v>26</v>
      </c>
      <c r="E140">
        <v>2</v>
      </c>
      <c r="F140" s="18">
        <v>45971</v>
      </c>
    </row>
    <row r="141" spans="1:9" ht="30" x14ac:dyDescent="0.25">
      <c r="A141" t="s">
        <v>100</v>
      </c>
      <c r="B141">
        <v>11</v>
      </c>
      <c r="C141" s="17" t="s">
        <v>47</v>
      </c>
      <c r="D141" s="6" t="s">
        <v>0</v>
      </c>
      <c r="E141">
        <v>8</v>
      </c>
      <c r="F141" s="18">
        <v>45971</v>
      </c>
    </row>
    <row r="142" spans="1:9" ht="20.25" x14ac:dyDescent="0.25">
      <c r="A142" t="s">
        <v>100</v>
      </c>
      <c r="B142">
        <v>12</v>
      </c>
      <c r="C142" s="1" t="s">
        <v>103</v>
      </c>
      <c r="D142" s="6" t="s">
        <v>0</v>
      </c>
      <c r="E142">
        <v>1</v>
      </c>
      <c r="F142" s="18">
        <v>45971</v>
      </c>
      <c r="H142" s="15"/>
    </row>
    <row r="143" spans="1:9" ht="30" x14ac:dyDescent="0.25">
      <c r="A143" t="s">
        <v>100</v>
      </c>
      <c r="B143" t="s">
        <v>37</v>
      </c>
      <c r="C143" s="13" t="s">
        <v>102</v>
      </c>
      <c r="E143" t="s">
        <v>18</v>
      </c>
      <c r="F143" s="18">
        <v>45971</v>
      </c>
      <c r="I143" t="s">
        <v>101</v>
      </c>
    </row>
    <row r="144" spans="1:9" x14ac:dyDescent="0.25">
      <c r="A144" t="s">
        <v>100</v>
      </c>
      <c r="B144" t="s">
        <v>99</v>
      </c>
      <c r="C144" s="7" t="s">
        <v>29</v>
      </c>
      <c r="D144" s="6" t="s">
        <v>0</v>
      </c>
      <c r="E144">
        <v>15</v>
      </c>
      <c r="F144" s="18">
        <v>45971</v>
      </c>
    </row>
    <row r="145" spans="1:7" ht="45" x14ac:dyDescent="0.25">
      <c r="A145" s="8" t="s">
        <v>98</v>
      </c>
      <c r="C145" s="7" t="str">
        <f>C135</f>
        <v>Zacatón Fino (Muhlenbergia stricta)</v>
      </c>
      <c r="D145">
        <v>80</v>
      </c>
      <c r="E145" t="s">
        <v>9</v>
      </c>
      <c r="F145" s="18">
        <v>45971</v>
      </c>
      <c r="G145" s="16">
        <v>0.43125000000000002</v>
      </c>
    </row>
    <row r="146" spans="1:7" x14ac:dyDescent="0.25">
      <c r="A146" t="s">
        <v>98</v>
      </c>
      <c r="C146" s="7" t="str">
        <f>C134</f>
        <v>genero tagete</v>
      </c>
      <c r="D146">
        <v>23</v>
      </c>
      <c r="E146">
        <v>7</v>
      </c>
      <c r="F146" s="18">
        <v>45971</v>
      </c>
    </row>
    <row r="147" spans="1:7" ht="30" x14ac:dyDescent="0.25">
      <c r="A147" t="s">
        <v>98</v>
      </c>
      <c r="B147">
        <v>17</v>
      </c>
      <c r="C147" s="7" t="str">
        <f>C136</f>
        <v>culantrillo (spermacoce verticilata)</v>
      </c>
      <c r="D147">
        <v>45</v>
      </c>
      <c r="E147">
        <v>8</v>
      </c>
      <c r="F147" s="18">
        <v>45971</v>
      </c>
    </row>
    <row r="148" spans="1:7" ht="30" x14ac:dyDescent="0.25">
      <c r="A148" t="s">
        <v>98</v>
      </c>
      <c r="B148">
        <v>18</v>
      </c>
      <c r="C148" s="7" t="s">
        <v>46</v>
      </c>
      <c r="D148">
        <v>2</v>
      </c>
      <c r="E148">
        <v>1</v>
      </c>
      <c r="F148" s="18">
        <v>45971</v>
      </c>
    </row>
    <row r="149" spans="1:7" x14ac:dyDescent="0.25">
      <c r="A149" t="s">
        <v>98</v>
      </c>
      <c r="C149" s="7" t="str">
        <f>C144</f>
        <v>subfamilia faboideae</v>
      </c>
      <c r="D149" s="6" t="s">
        <v>0</v>
      </c>
      <c r="E149" t="s">
        <v>18</v>
      </c>
      <c r="F149" s="18">
        <v>45971</v>
      </c>
    </row>
    <row r="150" spans="1:7" x14ac:dyDescent="0.25">
      <c r="A150" t="s">
        <v>98</v>
      </c>
      <c r="B150" t="s">
        <v>97</v>
      </c>
      <c r="C150" s="7" t="s">
        <v>96</v>
      </c>
      <c r="D150" s="6" t="s">
        <v>0</v>
      </c>
      <c r="E150" t="s">
        <v>18</v>
      </c>
      <c r="F150" s="18">
        <v>45971</v>
      </c>
    </row>
    <row r="151" spans="1:7" x14ac:dyDescent="0.25">
      <c r="A151" s="8" t="s">
        <v>94</v>
      </c>
      <c r="C151" s="7" t="str">
        <f>C134</f>
        <v>genero tagete</v>
      </c>
      <c r="D151">
        <v>30</v>
      </c>
      <c r="E151" t="s">
        <v>9</v>
      </c>
      <c r="F151" s="18">
        <v>45971</v>
      </c>
      <c r="G151" s="16">
        <v>0.4375</v>
      </c>
    </row>
    <row r="152" spans="1:7" x14ac:dyDescent="0.25">
      <c r="A152" t="s">
        <v>94</v>
      </c>
      <c r="C152" s="7" t="s">
        <v>2</v>
      </c>
      <c r="D152" s="6" t="s">
        <v>0</v>
      </c>
      <c r="E152" t="s">
        <v>18</v>
      </c>
      <c r="F152" s="18">
        <v>45971</v>
      </c>
    </row>
    <row r="153" spans="1:7" ht="30" x14ac:dyDescent="0.25">
      <c r="A153" t="s">
        <v>94</v>
      </c>
      <c r="B153" t="s">
        <v>95</v>
      </c>
      <c r="C153" s="1" t="str">
        <f>C143</f>
        <v>hojas verdes brillantes con textura</v>
      </c>
      <c r="D153" s="6" t="s">
        <v>0</v>
      </c>
      <c r="E153" t="s">
        <v>9</v>
      </c>
      <c r="F153" s="18">
        <v>45971</v>
      </c>
    </row>
    <row r="154" spans="1:7" x14ac:dyDescent="0.25">
      <c r="A154" s="2" t="s">
        <v>94</v>
      </c>
      <c r="B154" s="2"/>
      <c r="C154" s="5" t="str">
        <f>C150</f>
        <v>aceitilla</v>
      </c>
      <c r="D154" s="4" t="s">
        <v>0</v>
      </c>
      <c r="E154" s="2" t="s">
        <v>18</v>
      </c>
      <c r="F154" s="18">
        <v>45971</v>
      </c>
      <c r="G154" s="2"/>
    </row>
    <row r="155" spans="1:7" x14ac:dyDescent="0.25">
      <c r="A155" s="8" t="s">
        <v>92</v>
      </c>
      <c r="C155" s="7" t="s">
        <v>2</v>
      </c>
      <c r="E155">
        <v>1</v>
      </c>
      <c r="F155" s="18">
        <v>45971</v>
      </c>
      <c r="G155" s="16">
        <v>0.44374999999999998</v>
      </c>
    </row>
    <row r="156" spans="1:7" ht="45" x14ac:dyDescent="0.25">
      <c r="A156" t="s">
        <v>92</v>
      </c>
      <c r="C156" s="7" t="str">
        <f>C135</f>
        <v>Zacatón Fino (Muhlenbergia stricta)</v>
      </c>
      <c r="D156">
        <v>15</v>
      </c>
      <c r="E156">
        <v>3</v>
      </c>
      <c r="F156" s="18">
        <v>45971</v>
      </c>
    </row>
    <row r="157" spans="1:7" ht="30" x14ac:dyDescent="0.25">
      <c r="A157" t="s">
        <v>92</v>
      </c>
      <c r="B157" t="s">
        <v>93</v>
      </c>
      <c r="C157" s="7" t="s">
        <v>53</v>
      </c>
      <c r="D157">
        <v>100</v>
      </c>
      <c r="E157">
        <v>15</v>
      </c>
      <c r="F157" s="18">
        <v>45971</v>
      </c>
    </row>
    <row r="158" spans="1:7" x14ac:dyDescent="0.25">
      <c r="A158" t="s">
        <v>92</v>
      </c>
      <c r="C158" s="7" t="s">
        <v>21</v>
      </c>
      <c r="D158">
        <v>13</v>
      </c>
      <c r="E158" t="s">
        <v>18</v>
      </c>
      <c r="F158" s="18">
        <v>45971</v>
      </c>
    </row>
    <row r="159" spans="1:7" ht="30" x14ac:dyDescent="0.25">
      <c r="A159" t="s">
        <v>92</v>
      </c>
      <c r="B159" t="s">
        <v>33</v>
      </c>
      <c r="C159" s="7" t="s">
        <v>56</v>
      </c>
      <c r="D159" s="6" t="s">
        <v>0</v>
      </c>
      <c r="E159">
        <v>10</v>
      </c>
      <c r="F159" s="18">
        <v>45971</v>
      </c>
    </row>
    <row r="160" spans="1:7" x14ac:dyDescent="0.25">
      <c r="A160" t="s">
        <v>92</v>
      </c>
      <c r="B160">
        <v>6</v>
      </c>
      <c r="C160" s="7" t="s">
        <v>29</v>
      </c>
      <c r="D160" s="6" t="s">
        <v>0</v>
      </c>
      <c r="E160" t="s">
        <v>18</v>
      </c>
      <c r="F160" s="18">
        <v>45971</v>
      </c>
    </row>
    <row r="161" spans="1:7" x14ac:dyDescent="0.25">
      <c r="A161" t="s">
        <v>92</v>
      </c>
      <c r="B161" t="s">
        <v>13</v>
      </c>
      <c r="C161" s="1" t="s">
        <v>91</v>
      </c>
      <c r="D161" s="6" t="s">
        <v>0</v>
      </c>
      <c r="E161">
        <v>8</v>
      </c>
      <c r="F161" s="18">
        <v>45971</v>
      </c>
    </row>
    <row r="162" spans="1:7" x14ac:dyDescent="0.25">
      <c r="A162" s="8" t="s">
        <v>90</v>
      </c>
      <c r="C162" s="7" t="str">
        <f>C160</f>
        <v>subfamilia faboideae</v>
      </c>
      <c r="D162" s="6" t="s">
        <v>0</v>
      </c>
      <c r="E162" t="s">
        <v>9</v>
      </c>
      <c r="F162" s="18">
        <v>45971</v>
      </c>
      <c r="G162" s="16">
        <v>0.44930555555555557</v>
      </c>
    </row>
    <row r="163" spans="1:7" ht="45" x14ac:dyDescent="0.25">
      <c r="A163" t="s">
        <v>90</v>
      </c>
      <c r="C163" s="7" t="str">
        <f>C135</f>
        <v>Zacatón Fino (Muhlenbergia stricta)</v>
      </c>
      <c r="D163">
        <v>1</v>
      </c>
      <c r="E163">
        <v>7</v>
      </c>
      <c r="F163" s="18">
        <v>45971</v>
      </c>
    </row>
    <row r="164" spans="1:7" x14ac:dyDescent="0.25">
      <c r="A164" t="s">
        <v>90</v>
      </c>
      <c r="B164">
        <v>9</v>
      </c>
      <c r="C164" s="1" t="s">
        <v>29</v>
      </c>
      <c r="D164" s="6" t="s">
        <v>0</v>
      </c>
      <c r="E164">
        <v>3</v>
      </c>
      <c r="F164" s="18">
        <v>45971</v>
      </c>
    </row>
    <row r="165" spans="1:7" x14ac:dyDescent="0.25">
      <c r="A165" t="s">
        <v>90</v>
      </c>
      <c r="B165" t="s">
        <v>54</v>
      </c>
      <c r="C165" s="7" t="s">
        <v>89</v>
      </c>
      <c r="D165">
        <v>6</v>
      </c>
      <c r="E165">
        <v>1</v>
      </c>
      <c r="F165" s="18">
        <v>45971</v>
      </c>
    </row>
    <row r="166" spans="1:7" x14ac:dyDescent="0.25">
      <c r="A166" s="8" t="s">
        <v>88</v>
      </c>
      <c r="C166" s="7" t="str">
        <f>C160</f>
        <v>subfamilia faboideae</v>
      </c>
      <c r="D166" s="6" t="s">
        <v>0</v>
      </c>
      <c r="E166" t="s">
        <v>18</v>
      </c>
      <c r="F166" s="18">
        <v>45971</v>
      </c>
      <c r="G166" s="16">
        <v>0.45694444444444443</v>
      </c>
    </row>
    <row r="167" spans="1:7" ht="30" x14ac:dyDescent="0.25">
      <c r="A167" t="s">
        <v>88</v>
      </c>
      <c r="C167" s="7" t="str">
        <f>C157</f>
        <v>culantrillo (spermacoce verticilata)</v>
      </c>
      <c r="D167">
        <v>70</v>
      </c>
      <c r="E167" t="s">
        <v>18</v>
      </c>
      <c r="F167" s="18">
        <v>45971</v>
      </c>
    </row>
    <row r="168" spans="1:7" x14ac:dyDescent="0.25">
      <c r="A168" t="s">
        <v>88</v>
      </c>
      <c r="C168" s="7" t="s">
        <v>2</v>
      </c>
      <c r="D168" s="6" t="s">
        <v>0</v>
      </c>
      <c r="E168">
        <v>4</v>
      </c>
      <c r="F168" s="18">
        <v>45971</v>
      </c>
    </row>
    <row r="169" spans="1:7" ht="30" x14ac:dyDescent="0.25">
      <c r="A169" t="s">
        <v>88</v>
      </c>
      <c r="C169" s="7" t="str">
        <f>C141</f>
        <v>cabezona  (eryngium carlinae)</v>
      </c>
      <c r="D169" s="6" t="s">
        <v>0</v>
      </c>
      <c r="E169">
        <v>2</v>
      </c>
      <c r="F169" s="18">
        <v>45971</v>
      </c>
    </row>
    <row r="170" spans="1:7" x14ac:dyDescent="0.25">
      <c r="A170" t="s">
        <v>88</v>
      </c>
      <c r="C170" s="1" t="str">
        <f>C164</f>
        <v>subfamilia faboideae</v>
      </c>
      <c r="D170">
        <v>70</v>
      </c>
      <c r="E170" t="s">
        <v>18</v>
      </c>
      <c r="F170" s="18">
        <v>45971</v>
      </c>
    </row>
    <row r="171" spans="1:7" x14ac:dyDescent="0.25">
      <c r="A171" t="s">
        <v>88</v>
      </c>
      <c r="B171">
        <v>12</v>
      </c>
      <c r="C171" s="7" t="str">
        <f>C158</f>
        <v>erinus alpinus</v>
      </c>
      <c r="D171">
        <v>15</v>
      </c>
      <c r="E171">
        <v>3</v>
      </c>
      <c r="F171" s="18">
        <v>45971</v>
      </c>
    </row>
    <row r="172" spans="1:7" x14ac:dyDescent="0.25">
      <c r="A172" s="8" t="s">
        <v>87</v>
      </c>
      <c r="C172" s="7" t="s">
        <v>27</v>
      </c>
      <c r="D172">
        <v>45</v>
      </c>
      <c r="E172" t="s">
        <v>18</v>
      </c>
      <c r="F172" s="18">
        <v>45971</v>
      </c>
      <c r="G172" s="16">
        <v>0.4597222222222222</v>
      </c>
    </row>
    <row r="173" spans="1:7" x14ac:dyDescent="0.25">
      <c r="A173" t="s">
        <v>87</v>
      </c>
      <c r="C173" s="7" t="str">
        <f>C160</f>
        <v>subfamilia faboideae</v>
      </c>
      <c r="D173" s="6" t="s">
        <v>0</v>
      </c>
      <c r="E173" t="s">
        <v>18</v>
      </c>
      <c r="F173" s="18">
        <v>45971</v>
      </c>
    </row>
    <row r="174" spans="1:7" x14ac:dyDescent="0.25">
      <c r="A174" t="s">
        <v>87</v>
      </c>
      <c r="C174" s="7" t="s">
        <v>2</v>
      </c>
      <c r="D174" s="6" t="s">
        <v>0</v>
      </c>
      <c r="E174">
        <v>4</v>
      </c>
      <c r="F174" s="18">
        <v>45971</v>
      </c>
    </row>
    <row r="175" spans="1:7" x14ac:dyDescent="0.25">
      <c r="A175" t="s">
        <v>87</v>
      </c>
      <c r="C175" s="7" t="str">
        <f>C158</f>
        <v>erinus alpinus</v>
      </c>
      <c r="D175">
        <v>6</v>
      </c>
      <c r="E175">
        <v>3</v>
      </c>
      <c r="F175" s="18">
        <v>45971</v>
      </c>
    </row>
    <row r="176" spans="1:7" ht="30" x14ac:dyDescent="0.25">
      <c r="A176" s="2" t="s">
        <v>87</v>
      </c>
      <c r="B176" s="2"/>
      <c r="C176" s="5" t="str">
        <f>C141</f>
        <v>cabezona  (eryngium carlinae)</v>
      </c>
      <c r="D176" s="4" t="s">
        <v>0</v>
      </c>
      <c r="E176" s="2">
        <v>6</v>
      </c>
      <c r="F176" s="18">
        <v>45971</v>
      </c>
      <c r="G176" s="2"/>
    </row>
    <row r="177" spans="1:9" ht="30" x14ac:dyDescent="0.25">
      <c r="A177" s="8" t="s">
        <v>86</v>
      </c>
      <c r="B177">
        <v>1</v>
      </c>
      <c r="C177" s="7" t="s">
        <v>76</v>
      </c>
      <c r="D177" s="6" t="s">
        <v>0</v>
      </c>
      <c r="E177" t="s">
        <v>7</v>
      </c>
      <c r="F177" s="18">
        <v>45971</v>
      </c>
      <c r="G177" s="16">
        <v>0.4861111111111111</v>
      </c>
      <c r="I177" s="8"/>
    </row>
    <row r="178" spans="1:9" ht="45" x14ac:dyDescent="0.25">
      <c r="A178" t="s">
        <v>86</v>
      </c>
      <c r="B178" t="s">
        <v>65</v>
      </c>
      <c r="C178" s="13" t="s">
        <v>85</v>
      </c>
      <c r="D178" s="6" t="s">
        <v>0</v>
      </c>
      <c r="E178">
        <v>3</v>
      </c>
      <c r="F178" s="18">
        <v>45971</v>
      </c>
      <c r="G178" s="16">
        <v>0.4861111111111111</v>
      </c>
    </row>
    <row r="179" spans="1:9" ht="30" x14ac:dyDescent="0.25">
      <c r="A179" s="8" t="s">
        <v>84</v>
      </c>
      <c r="C179" s="7" t="s">
        <v>76</v>
      </c>
      <c r="D179" s="6" t="s">
        <v>0</v>
      </c>
      <c r="E179" t="s">
        <v>9</v>
      </c>
      <c r="F179" s="18">
        <v>45971</v>
      </c>
      <c r="G179" s="16">
        <v>0.48680555555555555</v>
      </c>
    </row>
    <row r="180" spans="1:9" ht="60" x14ac:dyDescent="0.25">
      <c r="A180" t="s">
        <v>84</v>
      </c>
      <c r="B180" t="s">
        <v>33</v>
      </c>
      <c r="C180" s="13" t="s">
        <v>83</v>
      </c>
      <c r="D180" s="6" t="s">
        <v>0</v>
      </c>
      <c r="E180">
        <v>9</v>
      </c>
      <c r="F180" s="18">
        <v>45971</v>
      </c>
    </row>
    <row r="181" spans="1:9" ht="30" x14ac:dyDescent="0.25">
      <c r="A181" s="8" t="s">
        <v>82</v>
      </c>
      <c r="C181" s="7" t="s">
        <v>76</v>
      </c>
      <c r="D181" s="6" t="s">
        <v>0</v>
      </c>
      <c r="E181" t="s">
        <v>75</v>
      </c>
      <c r="F181" s="18">
        <v>45971</v>
      </c>
      <c r="G181" s="16">
        <v>0.48888888888888887</v>
      </c>
    </row>
    <row r="182" spans="1:9" ht="30" x14ac:dyDescent="0.25">
      <c r="A182" s="11" t="s">
        <v>81</v>
      </c>
      <c r="B182" s="2"/>
      <c r="C182" s="5" t="s">
        <v>76</v>
      </c>
      <c r="D182" s="4" t="s">
        <v>0</v>
      </c>
      <c r="E182" s="2" t="s">
        <v>75</v>
      </c>
      <c r="F182" s="18">
        <v>45971</v>
      </c>
      <c r="G182" s="16">
        <v>0.48888888888888887</v>
      </c>
    </row>
    <row r="183" spans="1:9" ht="30" x14ac:dyDescent="0.25">
      <c r="A183" s="8" t="s">
        <v>80</v>
      </c>
      <c r="C183" s="7" t="s">
        <v>76</v>
      </c>
      <c r="D183" s="6" t="s">
        <v>0</v>
      </c>
      <c r="E183" t="s">
        <v>75</v>
      </c>
      <c r="F183" s="18">
        <v>45971</v>
      </c>
      <c r="G183" s="16">
        <v>0.49305555555555558</v>
      </c>
    </row>
    <row r="184" spans="1:9" ht="30" x14ac:dyDescent="0.25">
      <c r="A184" s="8" t="s">
        <v>79</v>
      </c>
      <c r="C184" s="7" t="s">
        <v>76</v>
      </c>
      <c r="D184" s="6" t="s">
        <v>0</v>
      </c>
      <c r="E184" t="s">
        <v>75</v>
      </c>
      <c r="F184" s="18">
        <v>45971</v>
      </c>
    </row>
    <row r="185" spans="1:9" ht="60" x14ac:dyDescent="0.25">
      <c r="A185" t="s">
        <v>79</v>
      </c>
      <c r="C185" s="1" t="str">
        <f>C180</f>
        <v>hierba pegada al tronco hojas en 4 medio lanceoladas redondas medio peluditas</v>
      </c>
      <c r="D185" s="6" t="s">
        <v>0</v>
      </c>
      <c r="E185">
        <v>15</v>
      </c>
      <c r="F185" s="18">
        <v>45971</v>
      </c>
    </row>
    <row r="186" spans="1:9" ht="30" x14ac:dyDescent="0.25">
      <c r="A186" s="8" t="s">
        <v>78</v>
      </c>
      <c r="C186" s="7" t="s">
        <v>76</v>
      </c>
      <c r="D186" s="6" t="s">
        <v>0</v>
      </c>
      <c r="E186" t="s">
        <v>75</v>
      </c>
      <c r="F186" s="18">
        <v>45971</v>
      </c>
    </row>
    <row r="187" spans="1:9" ht="30" x14ac:dyDescent="0.25">
      <c r="A187" s="11" t="s">
        <v>77</v>
      </c>
      <c r="B187" s="2"/>
      <c r="C187" s="5" t="s">
        <v>76</v>
      </c>
      <c r="D187" s="4" t="s">
        <v>0</v>
      </c>
      <c r="E187" s="2" t="s">
        <v>75</v>
      </c>
      <c r="F187" s="18">
        <v>45971</v>
      </c>
      <c r="G187" s="2"/>
    </row>
    <row r="188" spans="1:9" x14ac:dyDescent="0.25">
      <c r="A188" s="8" t="s">
        <v>72</v>
      </c>
      <c r="C188" s="7" t="s">
        <v>2</v>
      </c>
      <c r="D188" s="6" t="s">
        <v>0</v>
      </c>
      <c r="F188" s="18">
        <v>45971</v>
      </c>
      <c r="G188" s="16">
        <v>0.49722222222222223</v>
      </c>
    </row>
    <row r="189" spans="1:9" ht="30" x14ac:dyDescent="0.25">
      <c r="A189" t="s">
        <v>72</v>
      </c>
      <c r="B189" t="s">
        <v>24</v>
      </c>
      <c r="C189" s="7" t="s">
        <v>56</v>
      </c>
      <c r="D189" s="6" t="s">
        <v>0</v>
      </c>
      <c r="E189">
        <v>10</v>
      </c>
      <c r="F189" s="18">
        <v>45971</v>
      </c>
    </row>
    <row r="190" spans="1:9" ht="30" x14ac:dyDescent="0.25">
      <c r="A190" t="s">
        <v>72</v>
      </c>
      <c r="B190" t="s">
        <v>74</v>
      </c>
      <c r="C190" s="7" t="s">
        <v>73</v>
      </c>
      <c r="D190">
        <v>4</v>
      </c>
      <c r="E190">
        <v>9</v>
      </c>
      <c r="F190" s="18">
        <v>45971</v>
      </c>
    </row>
    <row r="191" spans="1:9" x14ac:dyDescent="0.25">
      <c r="A191" t="s">
        <v>72</v>
      </c>
      <c r="B191">
        <v>6</v>
      </c>
      <c r="C191" s="7" t="s">
        <v>29</v>
      </c>
      <c r="D191" s="6" t="s">
        <v>0</v>
      </c>
      <c r="E191">
        <v>5</v>
      </c>
      <c r="F191" s="18">
        <v>45971</v>
      </c>
    </row>
    <row r="192" spans="1:9" ht="30" x14ac:dyDescent="0.25">
      <c r="A192" s="8" t="s">
        <v>71</v>
      </c>
      <c r="C192" s="7" t="str">
        <f>C190</f>
        <v>cresta de gallo (castilleja arvensis)</v>
      </c>
      <c r="D192">
        <v>1</v>
      </c>
      <c r="E192">
        <v>15</v>
      </c>
      <c r="F192" s="18">
        <v>45971</v>
      </c>
      <c r="G192" s="16">
        <v>0.5</v>
      </c>
    </row>
    <row r="193" spans="1:10" x14ac:dyDescent="0.25">
      <c r="A193" t="s">
        <v>71</v>
      </c>
      <c r="C193" s="7" t="str">
        <f>C191</f>
        <v>subfamilia faboideae</v>
      </c>
      <c r="D193" s="6" t="s">
        <v>0</v>
      </c>
      <c r="E193">
        <v>2</v>
      </c>
      <c r="F193" s="18">
        <v>45971</v>
      </c>
    </row>
    <row r="194" spans="1:10" x14ac:dyDescent="0.25">
      <c r="A194" s="8" t="s">
        <v>70</v>
      </c>
      <c r="C194" s="8" t="str">
        <f>C191</f>
        <v>subfamilia faboideae</v>
      </c>
      <c r="D194" s="6" t="s">
        <v>0</v>
      </c>
      <c r="E194">
        <v>2</v>
      </c>
      <c r="F194" s="18">
        <v>45971</v>
      </c>
      <c r="G194" s="16">
        <v>0.50138888888888888</v>
      </c>
    </row>
    <row r="195" spans="1:10" ht="30" x14ac:dyDescent="0.25">
      <c r="A195" t="s">
        <v>70</v>
      </c>
      <c r="C195" s="7" t="str">
        <f>C190</f>
        <v>cresta de gallo (castilleja arvensis)</v>
      </c>
      <c r="D195" s="6" t="s">
        <v>0</v>
      </c>
      <c r="E195">
        <v>5</v>
      </c>
      <c r="F195" s="18">
        <v>45971</v>
      </c>
      <c r="H195" s="8"/>
    </row>
    <row r="196" spans="1:10" ht="45" x14ac:dyDescent="0.25">
      <c r="A196" t="s">
        <v>70</v>
      </c>
      <c r="B196" t="s">
        <v>13</v>
      </c>
      <c r="D196" s="6"/>
      <c r="F196" s="18">
        <v>45971</v>
      </c>
      <c r="H196" s="1" t="s">
        <v>69</v>
      </c>
      <c r="I196" s="6" t="s">
        <v>0</v>
      </c>
      <c r="J196" s="1" t="s">
        <v>68</v>
      </c>
    </row>
    <row r="197" spans="1:10" ht="30" x14ac:dyDescent="0.25">
      <c r="A197" s="8" t="s">
        <v>67</v>
      </c>
      <c r="C197" s="7" t="str">
        <f>C190</f>
        <v>cresta de gallo (castilleja arvensis)</v>
      </c>
      <c r="D197" s="6" t="s">
        <v>0</v>
      </c>
      <c r="E197">
        <v>7</v>
      </c>
      <c r="F197" s="18">
        <v>45971</v>
      </c>
      <c r="G197" s="16">
        <v>0.50347222222222221</v>
      </c>
    </row>
    <row r="198" spans="1:10" ht="30" x14ac:dyDescent="0.25">
      <c r="A198" s="2" t="s">
        <v>67</v>
      </c>
      <c r="B198" s="2"/>
      <c r="C198" s="5" t="str">
        <f>C189</f>
        <v>garañona (calyptocarpus vialis)</v>
      </c>
      <c r="D198" s="4" t="s">
        <v>0</v>
      </c>
      <c r="E198" s="2">
        <v>3</v>
      </c>
      <c r="F198" s="18">
        <v>45971</v>
      </c>
      <c r="G198" s="2"/>
    </row>
    <row r="199" spans="1:10" x14ac:dyDescent="0.25">
      <c r="A199" s="8" t="s">
        <v>66</v>
      </c>
      <c r="C199" s="7" t="s">
        <v>2</v>
      </c>
      <c r="E199" t="s">
        <v>7</v>
      </c>
      <c r="F199" s="18">
        <v>45971</v>
      </c>
      <c r="G199" s="16">
        <v>0.53541666666666665</v>
      </c>
    </row>
    <row r="200" spans="1:10" ht="30" x14ac:dyDescent="0.25">
      <c r="A200" t="s">
        <v>66</v>
      </c>
      <c r="B200">
        <v>1</v>
      </c>
      <c r="C200" s="7" t="s">
        <v>46</v>
      </c>
      <c r="D200">
        <v>24</v>
      </c>
      <c r="E200">
        <v>7</v>
      </c>
      <c r="F200" s="18">
        <v>45971</v>
      </c>
      <c r="I200" s="8"/>
    </row>
    <row r="201" spans="1:10" x14ac:dyDescent="0.25">
      <c r="A201" t="s">
        <v>66</v>
      </c>
      <c r="B201" t="s">
        <v>65</v>
      </c>
      <c r="C201" s="13" t="s">
        <v>64</v>
      </c>
      <c r="D201">
        <v>30</v>
      </c>
      <c r="E201">
        <v>4</v>
      </c>
      <c r="F201" s="18">
        <v>45971</v>
      </c>
    </row>
    <row r="202" spans="1:10" x14ac:dyDescent="0.25">
      <c r="A202" s="8" t="s">
        <v>63</v>
      </c>
      <c r="C202" s="7" t="s">
        <v>2</v>
      </c>
      <c r="E202">
        <v>9</v>
      </c>
      <c r="F202" s="18">
        <v>45971</v>
      </c>
      <c r="G202" s="16">
        <v>0.53819444444444442</v>
      </c>
    </row>
    <row r="203" spans="1:10" x14ac:dyDescent="0.25">
      <c r="A203" t="s">
        <v>63</v>
      </c>
      <c r="C203" s="8" t="str">
        <f>C200</f>
        <v>cinia naranja (zinnia angustiflora)</v>
      </c>
      <c r="D203">
        <v>7</v>
      </c>
      <c r="E203">
        <v>3</v>
      </c>
      <c r="F203" s="18">
        <v>45971</v>
      </c>
    </row>
    <row r="204" spans="1:10" x14ac:dyDescent="0.25">
      <c r="A204" s="8" t="s">
        <v>62</v>
      </c>
      <c r="C204" s="7" t="s">
        <v>2</v>
      </c>
      <c r="E204" t="s">
        <v>7</v>
      </c>
      <c r="F204" s="18">
        <v>45971</v>
      </c>
      <c r="G204" s="16">
        <v>0.53888888888888886</v>
      </c>
    </row>
    <row r="205" spans="1:10" x14ac:dyDescent="0.25">
      <c r="A205" t="s">
        <v>62</v>
      </c>
      <c r="C205" s="8" t="str">
        <f>C200</f>
        <v>cinia naranja (zinnia angustiflora)</v>
      </c>
      <c r="D205">
        <v>30</v>
      </c>
      <c r="E205">
        <v>10</v>
      </c>
      <c r="F205" s="18">
        <v>45971</v>
      </c>
    </row>
    <row r="206" spans="1:10" x14ac:dyDescent="0.25">
      <c r="A206" t="s">
        <v>62</v>
      </c>
      <c r="B206" t="s">
        <v>33</v>
      </c>
      <c r="C206" s="1" t="s">
        <v>61</v>
      </c>
      <c r="E206">
        <v>8</v>
      </c>
      <c r="F206" s="18">
        <v>45971</v>
      </c>
    </row>
    <row r="207" spans="1:10" x14ac:dyDescent="0.25">
      <c r="A207" s="8" t="s">
        <v>60</v>
      </c>
      <c r="C207" s="7" t="s">
        <v>2</v>
      </c>
      <c r="E207">
        <v>10</v>
      </c>
      <c r="F207" s="18">
        <v>45971</v>
      </c>
      <c r="G207" s="16">
        <v>0.54027777777777775</v>
      </c>
    </row>
    <row r="208" spans="1:10" ht="30" x14ac:dyDescent="0.25">
      <c r="A208" t="s">
        <v>60</v>
      </c>
      <c r="C208" s="7" t="str">
        <f>C200</f>
        <v>cinia naranja (zinnia angustiflora)</v>
      </c>
      <c r="D208">
        <v>23</v>
      </c>
      <c r="E208">
        <v>6</v>
      </c>
      <c r="F208" s="18">
        <v>45971</v>
      </c>
    </row>
    <row r="209" spans="1:12" x14ac:dyDescent="0.25">
      <c r="A209" s="2" t="s">
        <v>60</v>
      </c>
      <c r="B209" s="2"/>
      <c r="C209" s="14" t="str">
        <f>C201</f>
        <v>tipo huizapoles</v>
      </c>
      <c r="D209" s="2">
        <v>42</v>
      </c>
      <c r="E209" s="2">
        <v>12</v>
      </c>
      <c r="F209" s="18">
        <v>45971</v>
      </c>
      <c r="G209" s="2"/>
    </row>
    <row r="210" spans="1:12" ht="45" x14ac:dyDescent="0.25">
      <c r="A210" s="8" t="s">
        <v>59</v>
      </c>
      <c r="C210" s="7" t="s">
        <v>14</v>
      </c>
      <c r="D210">
        <v>24</v>
      </c>
      <c r="E210" t="s">
        <v>18</v>
      </c>
      <c r="F210" s="18">
        <v>45971</v>
      </c>
      <c r="G210" s="16">
        <v>0.54305555555555551</v>
      </c>
    </row>
    <row r="211" spans="1:12" ht="30" x14ac:dyDescent="0.25">
      <c r="A211" t="s">
        <v>59</v>
      </c>
      <c r="B211" t="s">
        <v>31</v>
      </c>
      <c r="C211" s="13" t="s">
        <v>58</v>
      </c>
      <c r="E211">
        <v>9</v>
      </c>
      <c r="F211" s="18">
        <v>45971</v>
      </c>
    </row>
    <row r="212" spans="1:12" ht="45" x14ac:dyDescent="0.25">
      <c r="A212" s="8" t="s">
        <v>55</v>
      </c>
      <c r="C212" s="7" t="str">
        <f>C210</f>
        <v>Zacatón Fino (Muhlenbergia stricta)</v>
      </c>
      <c r="D212">
        <v>15</v>
      </c>
      <c r="E212" t="s">
        <v>18</v>
      </c>
      <c r="F212" s="18">
        <v>45971</v>
      </c>
      <c r="G212" s="16">
        <v>0.5444444444444444</v>
      </c>
    </row>
    <row r="213" spans="1:12" ht="30" x14ac:dyDescent="0.25">
      <c r="A213" t="s">
        <v>55</v>
      </c>
      <c r="C213" s="1" t="str">
        <f>C211</f>
        <v>hoja medo lanceolada y peludita</v>
      </c>
      <c r="E213">
        <v>3</v>
      </c>
      <c r="F213" s="18">
        <v>45971</v>
      </c>
    </row>
    <row r="214" spans="1:12" ht="30" x14ac:dyDescent="0.25">
      <c r="A214" t="s">
        <v>55</v>
      </c>
      <c r="B214" t="s">
        <v>57</v>
      </c>
      <c r="C214" s="7" t="s">
        <v>56</v>
      </c>
      <c r="E214">
        <v>20</v>
      </c>
      <c r="F214" s="18">
        <v>45971</v>
      </c>
    </row>
    <row r="215" spans="1:12" ht="30" x14ac:dyDescent="0.25">
      <c r="A215" t="s">
        <v>55</v>
      </c>
      <c r="B215" t="s">
        <v>54</v>
      </c>
      <c r="C215" s="7" t="s">
        <v>53</v>
      </c>
      <c r="D215">
        <v>14</v>
      </c>
      <c r="E215" t="s">
        <v>18</v>
      </c>
      <c r="F215" s="18">
        <v>45971</v>
      </c>
    </row>
    <row r="216" spans="1:12" ht="45" x14ac:dyDescent="0.25">
      <c r="A216" s="8" t="s">
        <v>52</v>
      </c>
      <c r="C216" s="7" t="str">
        <f>C210</f>
        <v>Zacatón Fino (Muhlenbergia stricta)</v>
      </c>
      <c r="D216">
        <v>30</v>
      </c>
      <c r="E216" t="s">
        <v>18</v>
      </c>
      <c r="F216" s="18">
        <v>45971</v>
      </c>
      <c r="G216" s="16">
        <v>0.55138888888888893</v>
      </c>
    </row>
    <row r="217" spans="1:12" ht="30" x14ac:dyDescent="0.25">
      <c r="A217" t="s">
        <v>52</v>
      </c>
      <c r="C217" s="7" t="str">
        <f>C214</f>
        <v>garañona (calyptocarpus vialis)</v>
      </c>
      <c r="E217">
        <v>4</v>
      </c>
      <c r="F217" s="18">
        <v>45971</v>
      </c>
    </row>
    <row r="218" spans="1:12" x14ac:dyDescent="0.25">
      <c r="A218" t="s">
        <v>52</v>
      </c>
      <c r="B218" t="s">
        <v>51</v>
      </c>
      <c r="C218" s="19" t="s">
        <v>50</v>
      </c>
      <c r="D218">
        <v>20</v>
      </c>
      <c r="E218">
        <v>6</v>
      </c>
      <c r="F218" s="18">
        <v>45971</v>
      </c>
    </row>
    <row r="219" spans="1:12" ht="45" x14ac:dyDescent="0.25">
      <c r="A219" s="8" t="s">
        <v>49</v>
      </c>
      <c r="C219" s="7" t="str">
        <f>C210</f>
        <v>Zacatón Fino (Muhlenbergia stricta)</v>
      </c>
      <c r="E219" t="s">
        <v>9</v>
      </c>
      <c r="F219" s="18">
        <v>45971</v>
      </c>
      <c r="G219" s="16">
        <v>0.55277777777777781</v>
      </c>
    </row>
    <row r="220" spans="1:12" x14ac:dyDescent="0.25">
      <c r="A220" s="2" t="s">
        <v>49</v>
      </c>
      <c r="B220" s="2"/>
      <c r="C220" s="14" t="str">
        <f>C218</f>
        <v>género aeschynomene</v>
      </c>
      <c r="D220" s="2">
        <v>4</v>
      </c>
      <c r="E220" s="2">
        <v>3</v>
      </c>
      <c r="F220" s="18">
        <v>45971</v>
      </c>
      <c r="G220" s="2"/>
      <c r="H220" s="2"/>
      <c r="I220" s="2"/>
      <c r="J220" s="2"/>
      <c r="K220" s="2"/>
      <c r="L220" s="2"/>
    </row>
    <row r="221" spans="1:12" x14ac:dyDescent="0.25">
      <c r="A221" s="8" t="s">
        <v>48</v>
      </c>
      <c r="B221" t="s">
        <v>24</v>
      </c>
      <c r="C221" s="1" t="str">
        <f>C218</f>
        <v>género aeschynomene</v>
      </c>
      <c r="D221" s="6" t="s">
        <v>0</v>
      </c>
      <c r="E221">
        <v>5</v>
      </c>
      <c r="F221" s="3">
        <v>45980</v>
      </c>
      <c r="G221" s="9">
        <v>0.39583333333333331</v>
      </c>
      <c r="K221" s="8"/>
    </row>
    <row r="222" spans="1:12" x14ac:dyDescent="0.25">
      <c r="A222" t="s">
        <v>48</v>
      </c>
      <c r="B222" t="s">
        <v>22</v>
      </c>
      <c r="C222" s="7" t="s">
        <v>27</v>
      </c>
      <c r="D222">
        <v>13</v>
      </c>
      <c r="E222">
        <v>7</v>
      </c>
      <c r="F222" s="3">
        <v>45980</v>
      </c>
    </row>
    <row r="223" spans="1:12" x14ac:dyDescent="0.25">
      <c r="A223" t="s">
        <v>48</v>
      </c>
      <c r="C223" s="7" t="s">
        <v>43</v>
      </c>
      <c r="D223" s="6" t="s">
        <v>0</v>
      </c>
      <c r="F223" s="3">
        <v>45980</v>
      </c>
    </row>
    <row r="224" spans="1:12" x14ac:dyDescent="0.25">
      <c r="A224" t="s">
        <v>48</v>
      </c>
      <c r="B224" t="s">
        <v>17</v>
      </c>
      <c r="C224" s="7" t="s">
        <v>21</v>
      </c>
      <c r="D224">
        <v>3</v>
      </c>
      <c r="E224">
        <v>6</v>
      </c>
      <c r="F224" s="3">
        <v>45980</v>
      </c>
    </row>
    <row r="225" spans="1:10" x14ac:dyDescent="0.25">
      <c r="A225" t="s">
        <v>48</v>
      </c>
      <c r="B225" t="s">
        <v>13</v>
      </c>
      <c r="C225" s="1" t="str">
        <f>C218</f>
        <v>género aeschynomene</v>
      </c>
      <c r="D225">
        <v>17</v>
      </c>
      <c r="E225">
        <v>3</v>
      </c>
      <c r="F225" s="3">
        <v>45980</v>
      </c>
    </row>
    <row r="226" spans="1:10" ht="30" x14ac:dyDescent="0.25">
      <c r="A226" t="s">
        <v>48</v>
      </c>
      <c r="B226">
        <v>9</v>
      </c>
      <c r="C226" s="17" t="s">
        <v>47</v>
      </c>
      <c r="D226" s="6" t="s">
        <v>0</v>
      </c>
      <c r="E226">
        <v>2</v>
      </c>
      <c r="F226" s="3">
        <v>45980</v>
      </c>
    </row>
    <row r="227" spans="1:10" x14ac:dyDescent="0.25">
      <c r="A227" s="8" t="s">
        <v>45</v>
      </c>
      <c r="C227" s="7" t="s">
        <v>43</v>
      </c>
      <c r="D227" s="6" t="s">
        <v>0</v>
      </c>
      <c r="E227" t="s">
        <v>9</v>
      </c>
      <c r="F227" s="3">
        <v>45980</v>
      </c>
      <c r="G227" s="16">
        <v>0.40208333333333335</v>
      </c>
    </row>
    <row r="228" spans="1:10" ht="30" x14ac:dyDescent="0.25">
      <c r="A228" t="s">
        <v>45</v>
      </c>
      <c r="B228">
        <v>10</v>
      </c>
      <c r="C228" s="7" t="s">
        <v>46</v>
      </c>
      <c r="D228">
        <v>8</v>
      </c>
      <c r="E228">
        <v>2</v>
      </c>
      <c r="F228" s="3">
        <v>45980</v>
      </c>
    </row>
    <row r="229" spans="1:10" x14ac:dyDescent="0.25">
      <c r="A229" t="s">
        <v>45</v>
      </c>
      <c r="C229" s="1" t="str">
        <f>C221</f>
        <v>género aeschynomene</v>
      </c>
      <c r="D229" s="6" t="s">
        <v>0</v>
      </c>
      <c r="E229">
        <v>6</v>
      </c>
      <c r="F229" s="3">
        <v>45980</v>
      </c>
    </row>
    <row r="230" spans="1:10" x14ac:dyDescent="0.25">
      <c r="A230" t="s">
        <v>45</v>
      </c>
      <c r="B230">
        <v>11</v>
      </c>
      <c r="C230" s="7" t="s">
        <v>44</v>
      </c>
      <c r="D230" s="6" t="s">
        <v>0</v>
      </c>
      <c r="E230">
        <v>3</v>
      </c>
      <c r="F230" s="3">
        <v>45980</v>
      </c>
    </row>
    <row r="231" spans="1:10" x14ac:dyDescent="0.25">
      <c r="A231" s="8" t="s">
        <v>42</v>
      </c>
      <c r="C231" s="7" t="s">
        <v>43</v>
      </c>
      <c r="D231" s="6" t="s">
        <v>0</v>
      </c>
      <c r="E231" t="s">
        <v>7</v>
      </c>
      <c r="F231" s="3">
        <v>45980</v>
      </c>
      <c r="G231" s="9">
        <v>0.40347222222222223</v>
      </c>
    </row>
    <row r="232" spans="1:10" x14ac:dyDescent="0.25">
      <c r="A232" t="s">
        <v>42</v>
      </c>
      <c r="C232" s="7" t="str">
        <f>C222</f>
        <v>mitracarpues hirtus</v>
      </c>
      <c r="D232">
        <v>4</v>
      </c>
      <c r="E232">
        <v>1</v>
      </c>
      <c r="F232" s="3">
        <v>45980</v>
      </c>
    </row>
    <row r="233" spans="1:10" x14ac:dyDescent="0.25">
      <c r="A233" t="s">
        <v>42</v>
      </c>
      <c r="C233" s="7" t="str">
        <f>C224</f>
        <v>erinus alpinus</v>
      </c>
      <c r="D233" s="6" t="s">
        <v>0</v>
      </c>
      <c r="E233">
        <v>1</v>
      </c>
      <c r="F233" s="3">
        <v>45980</v>
      </c>
    </row>
    <row r="234" spans="1:10" ht="20.25" x14ac:dyDescent="0.25">
      <c r="A234" t="s">
        <v>42</v>
      </c>
      <c r="B234">
        <v>12</v>
      </c>
      <c r="C234" s="7" t="s">
        <v>41</v>
      </c>
      <c r="D234" s="6" t="s">
        <v>0</v>
      </c>
      <c r="E234">
        <v>1</v>
      </c>
      <c r="F234" s="3">
        <v>45980</v>
      </c>
      <c r="I234" s="15"/>
    </row>
    <row r="235" spans="1:10" x14ac:dyDescent="0.25">
      <c r="A235" s="8" t="s">
        <v>38</v>
      </c>
      <c r="C235" s="7" t="s">
        <v>40</v>
      </c>
      <c r="D235" s="6" t="s">
        <v>0</v>
      </c>
      <c r="E235" t="s">
        <v>7</v>
      </c>
      <c r="F235" s="3">
        <v>45980</v>
      </c>
      <c r="G235" s="9">
        <v>0.40555555555555556</v>
      </c>
    </row>
    <row r="236" spans="1:10" ht="20.25" x14ac:dyDescent="0.25">
      <c r="A236" t="s">
        <v>38</v>
      </c>
      <c r="C236" s="7" t="s">
        <v>39</v>
      </c>
      <c r="D236" s="6" t="s">
        <v>0</v>
      </c>
      <c r="E236">
        <v>2</v>
      </c>
      <c r="F236" s="3">
        <v>45980</v>
      </c>
      <c r="H236" s="15"/>
    </row>
    <row r="237" spans="1:10" x14ac:dyDescent="0.25">
      <c r="A237" t="s">
        <v>38</v>
      </c>
      <c r="C237" s="7" t="str">
        <f>C224</f>
        <v>erinus alpinus</v>
      </c>
      <c r="D237">
        <v>2</v>
      </c>
      <c r="E237">
        <v>4</v>
      </c>
      <c r="F237" s="3">
        <v>45980</v>
      </c>
    </row>
    <row r="238" spans="1:10" x14ac:dyDescent="0.25">
      <c r="A238" t="s">
        <v>38</v>
      </c>
      <c r="C238" s="7" t="str">
        <f>C222</f>
        <v>mitracarpues hirtus</v>
      </c>
      <c r="D238">
        <v>20</v>
      </c>
      <c r="E238" t="s">
        <v>7</v>
      </c>
      <c r="F238" s="3">
        <v>45980</v>
      </c>
    </row>
    <row r="239" spans="1:10" x14ac:dyDescent="0.25">
      <c r="A239" s="2" t="s">
        <v>38</v>
      </c>
      <c r="B239" s="2" t="s">
        <v>37</v>
      </c>
      <c r="C239" s="14" t="str">
        <f>C234</f>
        <v>género crocanthemum</v>
      </c>
      <c r="D239" s="4" t="s">
        <v>0</v>
      </c>
      <c r="E239" s="2">
        <v>1</v>
      </c>
      <c r="F239" s="3">
        <v>45980</v>
      </c>
      <c r="G239" s="2"/>
      <c r="H239" s="2"/>
      <c r="I239" s="2"/>
      <c r="J239" s="2"/>
    </row>
    <row r="240" spans="1:10" x14ac:dyDescent="0.25">
      <c r="A240" s="8" t="s">
        <v>36</v>
      </c>
      <c r="C240" s="7" t="str">
        <f>C223</f>
        <v>Género Aristida seco</v>
      </c>
      <c r="D240">
        <v>40</v>
      </c>
      <c r="E240">
        <v>4</v>
      </c>
      <c r="F240" s="3">
        <v>45980</v>
      </c>
      <c r="G240" s="9">
        <v>0.41041666666666665</v>
      </c>
    </row>
    <row r="241" spans="1:7" x14ac:dyDescent="0.25">
      <c r="A241" t="s">
        <v>36</v>
      </c>
      <c r="C241" s="7" t="s">
        <v>2</v>
      </c>
      <c r="D241" s="6" t="s">
        <v>0</v>
      </c>
      <c r="E241" t="s">
        <v>7</v>
      </c>
      <c r="F241" s="3">
        <v>45980</v>
      </c>
    </row>
    <row r="242" spans="1:7" ht="45" x14ac:dyDescent="0.25">
      <c r="A242" t="s">
        <v>36</v>
      </c>
      <c r="C242" s="7" t="s">
        <v>14</v>
      </c>
      <c r="D242">
        <v>3</v>
      </c>
      <c r="E242">
        <v>5</v>
      </c>
      <c r="F242" s="3">
        <v>45980</v>
      </c>
    </row>
    <row r="243" spans="1:7" ht="30.75" x14ac:dyDescent="0.25">
      <c r="A243" t="s">
        <v>36</v>
      </c>
      <c r="B243" t="s">
        <v>24</v>
      </c>
      <c r="C243" s="7" t="s">
        <v>26</v>
      </c>
      <c r="D243" s="6" t="s">
        <v>0</v>
      </c>
      <c r="E243">
        <v>15</v>
      </c>
      <c r="F243" s="3">
        <v>45980</v>
      </c>
      <c r="G243" s="12"/>
    </row>
    <row r="244" spans="1:7" x14ac:dyDescent="0.25">
      <c r="A244" t="s">
        <v>36</v>
      </c>
      <c r="C244" s="7" t="str">
        <f>C222</f>
        <v>mitracarpues hirtus</v>
      </c>
      <c r="D244">
        <v>2</v>
      </c>
      <c r="E244">
        <v>1</v>
      </c>
      <c r="F244" s="3">
        <v>45980</v>
      </c>
    </row>
    <row r="245" spans="1:7" ht="30" x14ac:dyDescent="0.25">
      <c r="A245" t="s">
        <v>36</v>
      </c>
      <c r="B245">
        <v>3</v>
      </c>
      <c r="C245" s="13" t="s">
        <v>35</v>
      </c>
      <c r="D245">
        <v>5</v>
      </c>
      <c r="E245">
        <v>3</v>
      </c>
      <c r="F245" s="3">
        <v>45980</v>
      </c>
    </row>
    <row r="246" spans="1:7" x14ac:dyDescent="0.25">
      <c r="A246" s="8" t="s">
        <v>34</v>
      </c>
      <c r="C246" s="7" t="s">
        <v>2</v>
      </c>
      <c r="D246" s="6" t="s">
        <v>0</v>
      </c>
      <c r="E246" t="s">
        <v>7</v>
      </c>
      <c r="F246" s="3">
        <v>45980</v>
      </c>
      <c r="G246" s="9">
        <v>0.41458333333333336</v>
      </c>
    </row>
    <row r="247" spans="1:7" x14ac:dyDescent="0.25">
      <c r="A247" t="s">
        <v>34</v>
      </c>
      <c r="C247" s="1" t="str">
        <f>C225</f>
        <v>género aeschynomene</v>
      </c>
      <c r="D247">
        <v>35</v>
      </c>
      <c r="E247">
        <v>4</v>
      </c>
      <c r="F247" s="3">
        <v>45980</v>
      </c>
    </row>
    <row r="248" spans="1:7" ht="30" x14ac:dyDescent="0.25">
      <c r="A248" t="s">
        <v>34</v>
      </c>
      <c r="C248" s="7" t="str">
        <f>C228</f>
        <v>cinia naranja (zinnia angustiflora)</v>
      </c>
      <c r="D248">
        <v>1</v>
      </c>
      <c r="E248">
        <v>1</v>
      </c>
      <c r="F248" s="3">
        <v>45980</v>
      </c>
    </row>
    <row r="249" spans="1:7" ht="45" x14ac:dyDescent="0.25">
      <c r="A249" t="s">
        <v>34</v>
      </c>
      <c r="C249" s="7" t="s">
        <v>14</v>
      </c>
      <c r="D249">
        <v>20</v>
      </c>
      <c r="E249" t="s">
        <v>7</v>
      </c>
      <c r="F249" s="3">
        <v>45980</v>
      </c>
    </row>
    <row r="250" spans="1:7" x14ac:dyDescent="0.25">
      <c r="A250" t="s">
        <v>34</v>
      </c>
      <c r="C250" s="7" t="str">
        <f>C243</f>
        <v>género chameacrista</v>
      </c>
      <c r="D250" s="6" t="s">
        <v>0</v>
      </c>
      <c r="E250">
        <v>3</v>
      </c>
      <c r="F250" s="3">
        <v>45980</v>
      </c>
    </row>
    <row r="251" spans="1:7" ht="45" x14ac:dyDescent="0.25">
      <c r="A251" t="s">
        <v>34</v>
      </c>
      <c r="B251" t="s">
        <v>33</v>
      </c>
      <c r="C251" s="13" t="s">
        <v>32</v>
      </c>
      <c r="D251" s="6" t="s">
        <v>0</v>
      </c>
      <c r="E251">
        <v>1</v>
      </c>
      <c r="F251" s="3">
        <v>45980</v>
      </c>
    </row>
    <row r="252" spans="1:7" x14ac:dyDescent="0.25">
      <c r="A252" s="8" t="s">
        <v>30</v>
      </c>
      <c r="C252" s="8" t="s">
        <v>2</v>
      </c>
      <c r="D252" s="6" t="s">
        <v>0</v>
      </c>
      <c r="E252" t="s">
        <v>7</v>
      </c>
      <c r="F252" s="3">
        <v>45980</v>
      </c>
      <c r="G252" s="9">
        <v>0.41805555555555557</v>
      </c>
    </row>
    <row r="253" spans="1:7" ht="45" x14ac:dyDescent="0.25">
      <c r="A253" t="s">
        <v>30</v>
      </c>
      <c r="C253" s="7" t="s">
        <v>14</v>
      </c>
      <c r="D253" s="1">
        <v>20</v>
      </c>
      <c r="E253" t="s">
        <v>7</v>
      </c>
      <c r="F253" s="3">
        <v>45980</v>
      </c>
    </row>
    <row r="254" spans="1:7" x14ac:dyDescent="0.25">
      <c r="A254" t="s">
        <v>30</v>
      </c>
      <c r="C254" s="1" t="str">
        <f>C225</f>
        <v>género aeschynomene</v>
      </c>
      <c r="D254">
        <v>14</v>
      </c>
      <c r="E254">
        <v>3</v>
      </c>
      <c r="F254" s="3">
        <v>45980</v>
      </c>
    </row>
    <row r="255" spans="1:7" x14ac:dyDescent="0.25">
      <c r="A255" t="s">
        <v>30</v>
      </c>
      <c r="C255" s="7" t="str">
        <f>C222</f>
        <v>mitracarpues hirtus</v>
      </c>
      <c r="D255">
        <v>10</v>
      </c>
      <c r="E255">
        <v>7</v>
      </c>
      <c r="F255" s="3">
        <v>45980</v>
      </c>
    </row>
    <row r="256" spans="1:7" x14ac:dyDescent="0.25">
      <c r="A256" t="s">
        <v>30</v>
      </c>
      <c r="B256" t="s">
        <v>31</v>
      </c>
      <c r="C256" s="1" t="str">
        <f>C221</f>
        <v>género aeschynomene</v>
      </c>
      <c r="D256" s="6" t="s">
        <v>0</v>
      </c>
      <c r="E256">
        <v>4</v>
      </c>
      <c r="F256" s="3">
        <v>45980</v>
      </c>
    </row>
    <row r="257" spans="1:12" x14ac:dyDescent="0.25">
      <c r="A257" t="s">
        <v>30</v>
      </c>
      <c r="B257">
        <v>8</v>
      </c>
      <c r="C257" s="7" t="s">
        <v>29</v>
      </c>
      <c r="D257" s="6" t="s">
        <v>0</v>
      </c>
      <c r="E257">
        <v>6</v>
      </c>
      <c r="F257" s="3">
        <v>45980</v>
      </c>
    </row>
    <row r="258" spans="1:12" x14ac:dyDescent="0.25">
      <c r="A258" s="8" t="s">
        <v>28</v>
      </c>
      <c r="C258" s="7" t="s">
        <v>2</v>
      </c>
      <c r="D258" s="6" t="s">
        <v>0</v>
      </c>
      <c r="E258" t="s">
        <v>9</v>
      </c>
      <c r="F258" s="3">
        <v>45980</v>
      </c>
      <c r="G258" s="9">
        <v>0.42152777777777778</v>
      </c>
    </row>
    <row r="259" spans="1:12" ht="45" x14ac:dyDescent="0.25">
      <c r="A259" t="s">
        <v>28</v>
      </c>
      <c r="C259" s="7" t="s">
        <v>14</v>
      </c>
      <c r="D259">
        <v>17</v>
      </c>
      <c r="E259" t="s">
        <v>7</v>
      </c>
      <c r="F259" s="3">
        <v>45980</v>
      </c>
    </row>
    <row r="260" spans="1:12" x14ac:dyDescent="0.25">
      <c r="A260" s="2" t="s">
        <v>28</v>
      </c>
      <c r="B260" s="2"/>
      <c r="C260" s="5" t="str">
        <f>C243</f>
        <v>género chameacrista</v>
      </c>
      <c r="D260" s="4" t="s">
        <v>0</v>
      </c>
      <c r="E260" s="2">
        <v>7</v>
      </c>
      <c r="F260" s="3">
        <v>45980</v>
      </c>
      <c r="G260" s="2"/>
    </row>
    <row r="261" spans="1:12" ht="45" x14ac:dyDescent="0.25">
      <c r="A261" s="8" t="s">
        <v>25</v>
      </c>
      <c r="C261" s="7" t="s">
        <v>14</v>
      </c>
      <c r="D261">
        <v>15</v>
      </c>
      <c r="E261" t="s">
        <v>9</v>
      </c>
      <c r="F261" s="3">
        <v>45980</v>
      </c>
      <c r="L261" s="8"/>
    </row>
    <row r="262" spans="1:12" x14ac:dyDescent="0.25">
      <c r="A262" t="s">
        <v>25</v>
      </c>
      <c r="C262" s="7" t="s">
        <v>27</v>
      </c>
      <c r="D262">
        <v>12</v>
      </c>
      <c r="E262">
        <v>7</v>
      </c>
      <c r="F262" s="3">
        <v>45980</v>
      </c>
    </row>
    <row r="263" spans="1:12" x14ac:dyDescent="0.25">
      <c r="A263" t="s">
        <v>25</v>
      </c>
      <c r="C263" s="7" t="s">
        <v>26</v>
      </c>
      <c r="D263" s="6" t="s">
        <v>0</v>
      </c>
      <c r="E263">
        <v>8</v>
      </c>
      <c r="F263" s="3">
        <v>45980</v>
      </c>
    </row>
    <row r="264" spans="1:12" x14ac:dyDescent="0.25">
      <c r="A264" t="s">
        <v>25</v>
      </c>
      <c r="B264" t="s">
        <v>24</v>
      </c>
      <c r="C264" s="7" t="s">
        <v>23</v>
      </c>
      <c r="D264" s="6" t="s">
        <v>0</v>
      </c>
      <c r="E264">
        <v>3</v>
      </c>
      <c r="F264" s="3">
        <v>45980</v>
      </c>
    </row>
    <row r="265" spans="1:12" x14ac:dyDescent="0.25">
      <c r="A265" s="8" t="s">
        <v>19</v>
      </c>
      <c r="C265" s="7" t="str">
        <f>C262</f>
        <v>mitracarpues hirtus</v>
      </c>
      <c r="D265">
        <v>21</v>
      </c>
      <c r="E265" t="s">
        <v>18</v>
      </c>
      <c r="F265" s="3">
        <v>45980</v>
      </c>
    </row>
    <row r="266" spans="1:12" x14ac:dyDescent="0.25">
      <c r="A266" t="s">
        <v>19</v>
      </c>
      <c r="C266" s="7" t="str">
        <f>C264</f>
        <v>stevia ovata</v>
      </c>
      <c r="D266" s="6" t="s">
        <v>0</v>
      </c>
      <c r="E266">
        <v>2</v>
      </c>
      <c r="F266" s="3">
        <v>45980</v>
      </c>
    </row>
    <row r="267" spans="1:12" x14ac:dyDescent="0.25">
      <c r="A267" t="s">
        <v>19</v>
      </c>
      <c r="C267" s="7" t="str">
        <f>C263</f>
        <v>género chameacrista</v>
      </c>
      <c r="D267" s="6" t="s">
        <v>0</v>
      </c>
      <c r="E267">
        <v>4</v>
      </c>
      <c r="F267" s="3">
        <v>45980</v>
      </c>
    </row>
    <row r="268" spans="1:12" x14ac:dyDescent="0.25">
      <c r="A268" t="s">
        <v>19</v>
      </c>
      <c r="B268" t="s">
        <v>22</v>
      </c>
      <c r="C268" s="7" t="s">
        <v>21</v>
      </c>
      <c r="D268">
        <v>9</v>
      </c>
      <c r="E268">
        <v>4</v>
      </c>
      <c r="F268" s="3">
        <v>45980</v>
      </c>
    </row>
    <row r="269" spans="1:12" ht="30.75" x14ac:dyDescent="0.25">
      <c r="A269" t="s">
        <v>19</v>
      </c>
      <c r="C269" s="7" t="s">
        <v>20</v>
      </c>
      <c r="D269">
        <v>8</v>
      </c>
      <c r="E269">
        <v>2</v>
      </c>
      <c r="F269" s="3">
        <v>45980</v>
      </c>
      <c r="G269" s="12"/>
    </row>
    <row r="270" spans="1:12" x14ac:dyDescent="0.25">
      <c r="A270" t="s">
        <v>19</v>
      </c>
      <c r="C270" s="7" t="s">
        <v>2</v>
      </c>
      <c r="E270">
        <v>2</v>
      </c>
      <c r="F270" s="3">
        <v>45980</v>
      </c>
    </row>
    <row r="271" spans="1:12" ht="45" x14ac:dyDescent="0.25">
      <c r="A271" s="8" t="s">
        <v>16</v>
      </c>
      <c r="C271" s="7" t="s">
        <v>14</v>
      </c>
      <c r="D271">
        <v>4</v>
      </c>
      <c r="E271" t="s">
        <v>18</v>
      </c>
      <c r="F271" s="3">
        <v>45980</v>
      </c>
      <c r="G271" s="9">
        <v>0.43611111111111112</v>
      </c>
    </row>
    <row r="272" spans="1:12" x14ac:dyDescent="0.25">
      <c r="A272" t="s">
        <v>16</v>
      </c>
      <c r="C272" s="7" t="str">
        <f>C263</f>
        <v>género chameacrista</v>
      </c>
      <c r="D272" s="6" t="s">
        <v>0</v>
      </c>
      <c r="E272">
        <v>5</v>
      </c>
      <c r="F272" s="3">
        <v>45980</v>
      </c>
    </row>
    <row r="273" spans="1:10" x14ac:dyDescent="0.25">
      <c r="A273" t="s">
        <v>16</v>
      </c>
      <c r="B273" t="s">
        <v>17</v>
      </c>
      <c r="C273" s="1" t="str">
        <f>C234</f>
        <v>género crocanthemum</v>
      </c>
      <c r="D273" s="6" t="s">
        <v>0</v>
      </c>
      <c r="E273" t="s">
        <v>9</v>
      </c>
      <c r="F273" s="3">
        <v>45980</v>
      </c>
    </row>
    <row r="274" spans="1:10" x14ac:dyDescent="0.25">
      <c r="A274" t="s">
        <v>16</v>
      </c>
      <c r="C274" s="7" t="str">
        <f>C264</f>
        <v>stevia ovata</v>
      </c>
      <c r="D274" s="6" t="s">
        <v>0</v>
      </c>
      <c r="E274">
        <v>7</v>
      </c>
      <c r="F274" s="3">
        <v>45980</v>
      </c>
    </row>
    <row r="275" spans="1:10" x14ac:dyDescent="0.25">
      <c r="A275" s="8" t="s">
        <v>15</v>
      </c>
      <c r="C275" s="7" t="str">
        <f>C268</f>
        <v>erinus alpinus</v>
      </c>
      <c r="D275">
        <v>6</v>
      </c>
      <c r="E275">
        <v>2</v>
      </c>
      <c r="F275" s="3">
        <v>45980</v>
      </c>
      <c r="G275" s="9">
        <v>0.43819444444444444</v>
      </c>
    </row>
    <row r="276" spans="1:10" x14ac:dyDescent="0.25">
      <c r="A276" t="s">
        <v>15</v>
      </c>
      <c r="C276" s="7" t="str">
        <f>C263</f>
        <v>género chameacrista</v>
      </c>
      <c r="D276" s="6" t="s">
        <v>0</v>
      </c>
      <c r="E276">
        <v>15</v>
      </c>
      <c r="F276" s="3">
        <v>45980</v>
      </c>
    </row>
    <row r="277" spans="1:10" ht="45" x14ac:dyDescent="0.25">
      <c r="A277" s="2" t="s">
        <v>15</v>
      </c>
      <c r="B277" s="2"/>
      <c r="C277" s="5" t="s">
        <v>14</v>
      </c>
      <c r="D277" s="2">
        <v>27</v>
      </c>
      <c r="E277" s="2" t="s">
        <v>9</v>
      </c>
      <c r="F277" s="3">
        <v>45980</v>
      </c>
      <c r="G277" s="2"/>
      <c r="H277" s="2"/>
      <c r="I277" s="2"/>
      <c r="J277" s="2"/>
    </row>
    <row r="278" spans="1:10" x14ac:dyDescent="0.25">
      <c r="A278" s="8" t="s">
        <v>12</v>
      </c>
      <c r="C278" s="7" t="s">
        <v>2</v>
      </c>
      <c r="D278" s="6" t="s">
        <v>0</v>
      </c>
      <c r="E278">
        <v>2</v>
      </c>
      <c r="F278" s="3">
        <v>45980</v>
      </c>
      <c r="G278" s="9">
        <v>0.44097222222222221</v>
      </c>
    </row>
    <row r="279" spans="1:10" x14ac:dyDescent="0.25">
      <c r="A279" t="s">
        <v>12</v>
      </c>
      <c r="B279" t="s">
        <v>13</v>
      </c>
      <c r="C279" s="1" t="str">
        <f>C99</f>
        <v>género dalea</v>
      </c>
      <c r="D279" s="6" t="s">
        <v>0</v>
      </c>
      <c r="E279">
        <v>7</v>
      </c>
      <c r="F279" s="3">
        <v>45980</v>
      </c>
    </row>
    <row r="280" spans="1:10" x14ac:dyDescent="0.25">
      <c r="A280" t="s">
        <v>12</v>
      </c>
      <c r="B280">
        <v>9</v>
      </c>
      <c r="C280" s="7" t="s">
        <v>11</v>
      </c>
      <c r="D280" s="6" t="s">
        <v>0</v>
      </c>
      <c r="E280">
        <v>1</v>
      </c>
      <c r="F280" s="3">
        <v>45980</v>
      </c>
    </row>
    <row r="281" spans="1:10" x14ac:dyDescent="0.25">
      <c r="A281" s="8" t="s">
        <v>10</v>
      </c>
      <c r="C281" s="7" t="s">
        <v>2</v>
      </c>
      <c r="D281" s="6" t="s">
        <v>0</v>
      </c>
      <c r="E281" t="s">
        <v>9</v>
      </c>
      <c r="F281" s="3">
        <v>45980</v>
      </c>
      <c r="G281" s="9">
        <v>0.44374999999999998</v>
      </c>
    </row>
    <row r="282" spans="1:10" x14ac:dyDescent="0.25">
      <c r="A282" t="s">
        <v>10</v>
      </c>
      <c r="B282">
        <v>10</v>
      </c>
      <c r="C282" s="7" t="str">
        <f>C280</f>
        <v>aristolochia bracteosa</v>
      </c>
      <c r="D282" s="6" t="s">
        <v>0</v>
      </c>
      <c r="E282">
        <v>6</v>
      </c>
      <c r="F282" s="3">
        <v>45980</v>
      </c>
    </row>
    <row r="283" spans="1:10" x14ac:dyDescent="0.25">
      <c r="A283" t="s">
        <v>10</v>
      </c>
      <c r="C283" s="1" t="str">
        <f>C279</f>
        <v>género dalea</v>
      </c>
      <c r="D283" s="6" t="s">
        <v>0</v>
      </c>
      <c r="E283">
        <v>3</v>
      </c>
      <c r="F283" s="3">
        <v>45980</v>
      </c>
    </row>
    <row r="284" spans="1:10" x14ac:dyDescent="0.25">
      <c r="A284" t="s">
        <v>10</v>
      </c>
      <c r="C284" s="7" t="str">
        <f>C264</f>
        <v>stevia ovata</v>
      </c>
      <c r="D284" s="6" t="s">
        <v>0</v>
      </c>
      <c r="E284">
        <v>8</v>
      </c>
      <c r="F284" s="3">
        <v>45980</v>
      </c>
    </row>
    <row r="285" spans="1:10" x14ac:dyDescent="0.25">
      <c r="A285" s="8" t="s">
        <v>8</v>
      </c>
      <c r="C285" s="7" t="s">
        <v>2</v>
      </c>
      <c r="D285" s="6" t="s">
        <v>0</v>
      </c>
      <c r="E285" t="s">
        <v>9</v>
      </c>
      <c r="F285" s="3">
        <v>45980</v>
      </c>
    </row>
    <row r="286" spans="1:10" x14ac:dyDescent="0.25">
      <c r="A286" t="s">
        <v>8</v>
      </c>
      <c r="C286" s="7" t="str">
        <f>C280</f>
        <v>aristolochia bracteosa</v>
      </c>
      <c r="D286" s="6" t="s">
        <v>0</v>
      </c>
      <c r="E286" t="s">
        <v>7</v>
      </c>
      <c r="F286" s="3">
        <v>45980</v>
      </c>
    </row>
    <row r="287" spans="1:10" x14ac:dyDescent="0.25">
      <c r="A287" s="11" t="s">
        <v>6</v>
      </c>
      <c r="B287" s="2"/>
      <c r="C287" s="5" t="s">
        <v>2</v>
      </c>
      <c r="D287" s="4" t="s">
        <v>0</v>
      </c>
      <c r="E287" s="2"/>
      <c r="F287" s="3">
        <v>45980</v>
      </c>
      <c r="G287" s="10">
        <v>0.4465277777777778</v>
      </c>
      <c r="H287" s="2"/>
      <c r="I287" s="2"/>
      <c r="J287" s="2"/>
    </row>
    <row r="288" spans="1:10" x14ac:dyDescent="0.25">
      <c r="A288" s="8" t="s">
        <v>5</v>
      </c>
      <c r="C288" s="7" t="s">
        <v>2</v>
      </c>
      <c r="D288" s="6" t="s">
        <v>0</v>
      </c>
      <c r="E288">
        <v>7</v>
      </c>
      <c r="F288" s="3">
        <v>45980</v>
      </c>
      <c r="G288" s="9">
        <v>0.44861111111111113</v>
      </c>
    </row>
    <row r="289" spans="1:10" x14ac:dyDescent="0.25">
      <c r="A289" s="8" t="s">
        <v>4</v>
      </c>
      <c r="C289" s="7" t="s">
        <v>2</v>
      </c>
      <c r="D289" s="6" t="s">
        <v>0</v>
      </c>
      <c r="E289">
        <v>1</v>
      </c>
      <c r="F289" s="3">
        <v>45980</v>
      </c>
    </row>
    <row r="290" spans="1:10" x14ac:dyDescent="0.25">
      <c r="A290" s="8" t="s">
        <v>3</v>
      </c>
      <c r="C290" s="7" t="s">
        <v>2</v>
      </c>
      <c r="D290" s="6" t="s">
        <v>0</v>
      </c>
      <c r="E290">
        <v>8</v>
      </c>
      <c r="F290" s="3">
        <v>45980</v>
      </c>
    </row>
    <row r="291" spans="1:10" x14ac:dyDescent="0.25">
      <c r="A291" s="8" t="s">
        <v>1</v>
      </c>
      <c r="C291" s="7" t="s">
        <v>2</v>
      </c>
      <c r="D291" s="6" t="s">
        <v>0</v>
      </c>
      <c r="E291">
        <v>5</v>
      </c>
      <c r="F291" s="3">
        <v>45980</v>
      </c>
    </row>
    <row r="292" spans="1:10" x14ac:dyDescent="0.25">
      <c r="A292" t="s">
        <v>1</v>
      </c>
      <c r="C292" s="1" t="str">
        <f>C279</f>
        <v>género dalea</v>
      </c>
      <c r="D292" s="6" t="s">
        <v>0</v>
      </c>
      <c r="E292">
        <v>4</v>
      </c>
      <c r="F292" s="3">
        <v>45980</v>
      </c>
    </row>
    <row r="293" spans="1:10" x14ac:dyDescent="0.25">
      <c r="A293" s="2" t="s">
        <v>1</v>
      </c>
      <c r="B293" s="2"/>
      <c r="C293" s="5" t="str">
        <f>C264</f>
        <v>stevia ovata</v>
      </c>
      <c r="D293" s="4" t="s">
        <v>0</v>
      </c>
      <c r="E293" s="2">
        <v>1</v>
      </c>
      <c r="F293" s="3">
        <v>45980</v>
      </c>
      <c r="G293" s="2"/>
      <c r="H293" s="2"/>
      <c r="I293" s="2"/>
      <c r="J2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Sofiobru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Renteria</dc:creator>
  <cp:lastModifiedBy>Alberto Renteria</cp:lastModifiedBy>
  <dcterms:created xsi:type="dcterms:W3CDTF">2025-12-03T03:05:13Z</dcterms:created>
  <dcterms:modified xsi:type="dcterms:W3CDTF">2025-12-03T18:51:51Z</dcterms:modified>
</cp:coreProperties>
</file>